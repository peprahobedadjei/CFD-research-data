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bedPeprah-RESEARCH\Downloads\"/>
    </mc:Choice>
  </mc:AlternateContent>
  <xr:revisionPtr revIDLastSave="0" documentId="8_{C5CD4ABA-C4C4-43EB-ABAD-ECE1B550F5D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ead me" sheetId="1" r:id="rId1"/>
    <sheet name="Column guide" sheetId="2" r:id="rId2"/>
    <sheet name="Frozen runs (38)" sheetId="3" r:id="rId3"/>
    <sheet name="Full runs (11)" sheetId="4" r:id="rId4"/>
    <sheet name="Frozen vs full" sheetId="5" r:id="rId5"/>
    <sheet name="All columns" sheetId="6" r:id="rId6"/>
  </sheets>
  <definedNames>
    <definedName name="_xlnm._FilterDatabase" localSheetId="1" hidden="1">'Column guide'!$A$1:$F$146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5" l="1"/>
  <c r="O12" i="5"/>
  <c r="L12" i="5"/>
  <c r="I12" i="5"/>
  <c r="F12" i="5"/>
  <c r="R11" i="5"/>
  <c r="O11" i="5"/>
  <c r="L11" i="5"/>
  <c r="I11" i="5"/>
  <c r="F11" i="5"/>
  <c r="R10" i="5"/>
  <c r="O10" i="5"/>
  <c r="L10" i="5"/>
  <c r="I10" i="5"/>
  <c r="F10" i="5"/>
  <c r="R9" i="5"/>
  <c r="O9" i="5"/>
  <c r="L9" i="5"/>
  <c r="I9" i="5"/>
  <c r="F9" i="5"/>
  <c r="R8" i="5"/>
  <c r="O8" i="5"/>
  <c r="L8" i="5"/>
  <c r="I8" i="5"/>
  <c r="F8" i="5"/>
  <c r="R7" i="5"/>
  <c r="O7" i="5"/>
  <c r="L7" i="5"/>
  <c r="I7" i="5"/>
  <c r="F7" i="5"/>
  <c r="R6" i="5"/>
  <c r="O6" i="5"/>
  <c r="L6" i="5"/>
  <c r="I6" i="5"/>
  <c r="F6" i="5"/>
  <c r="R5" i="5"/>
  <c r="O5" i="5"/>
  <c r="L5" i="5"/>
  <c r="I5" i="5"/>
  <c r="F5" i="5"/>
  <c r="R4" i="5"/>
  <c r="O4" i="5"/>
  <c r="L4" i="5"/>
  <c r="I4" i="5"/>
  <c r="F4" i="5"/>
  <c r="R3" i="5"/>
  <c r="O3" i="5"/>
  <c r="L3" i="5"/>
  <c r="I3" i="5"/>
  <c r="F3" i="5"/>
  <c r="R2" i="5"/>
  <c r="O2" i="5"/>
  <c r="L2" i="5"/>
  <c r="I2" i="5"/>
  <c r="F2" i="5"/>
</calcChain>
</file>

<file path=xl/sharedStrings.xml><?xml version="1.0" encoding="utf-8"?>
<sst xmlns="http://schemas.openxmlformats.org/spreadsheetml/2006/main" count="1386" uniqueCount="448">
  <si>
    <t>Surrogate data set, Stage 1 (Paper 1)</t>
  </si>
  <si>
    <t>Source: doe/dataset.csv, built by case/build_dataset.py from the CFD runs (Ansys Fluent 2026 R1, OVGU co-current tower of Tran et al. 2017).</t>
  </si>
  <si>
    <t>How the runs were chosen (design of experiments)</t>
  </si>
  <si>
    <t>32 Latin-hypercube points (scipy LatinHypercube, centred-discrepancy optimised, seed 2026): inlet air 130–150 °C, feed 130–216 mL/min; spray from the feed as in Table 4 of Tran et al. (55 µm at 130 mL/min to 80 µm from 172 mL/min).</t>
  </si>
  <si>
    <t>Plus the 6 validated Tran cases (A/B/C at 130 and 150 °C).</t>
  </si>
  <si>
    <t>Fixed: air 0.075 kg/s at 6 g/kg, 30 % solids at 20 °C, injection 80 m/s, drying-law tail 1.5, wall heat loss as calibrated.</t>
  </si>
  <si>
    <t>Run types</t>
  </si>
  <si>
    <t>Frozen runs (38): air flow copied from the converged A150 case; heat, humidity and droplets solved. These train and test the surrogates.</t>
  </si>
  <si>
    <t>Full runs (11): everything solved; 5 Latin-hypercube points + the 6 Tran cases. Used to measure and correct the small frozen-field error.</t>
  </si>
  <si>
    <t>Used for: 7 Latin-hypercube runs were held out as the test set (never used in training).</t>
  </si>
  <si>
    <t>Column colours</t>
  </si>
  <si>
    <t>Blue = inputs; green = validated against Tran's experiments; yellow = derived from the validated energy and mass balances; orange = model indicators without measurements.</t>
  </si>
  <si>
    <t>Limits: 4 % moisture (USDA Extra Grade; Schuck et al. 2008), 5 % (Codex Stan 207-1999); whey denaturation from Atuonwu, Ray &amp; Stapley (2017) — only in runs made from 2 Oct 2026 (empty for the 6 Tran cases).</t>
  </si>
  <si>
    <t>Powder D50 is calculated from the prescribed spray (shrinkage to the critical diameter), not predicted.</t>
  </si>
  <si>
    <t>Column guide</t>
  </si>
  <si>
    <t>The sheet "Column guide" explains every column (meaning, unit, group, how it was obtained), for the readable sheets and for all raw columns. The same guide is saved as doe/dataset_columns.csv next to dataset.csv.</t>
  </si>
  <si>
    <t>Appears in sheet</t>
  </si>
  <si>
    <t>Column</t>
  </si>
  <si>
    <t>Meaning</t>
  </si>
  <si>
    <t>Unit</t>
  </si>
  <si>
    <t>Group</t>
  </si>
  <si>
    <t>How obtained</t>
  </si>
  <si>
    <t>Frozen runs / Full runs</t>
  </si>
  <si>
    <t>Run</t>
  </si>
  <si>
    <t>Short run name (S1_xxx = Latin-hypercube point; A150 ... C130 = Tran case)</t>
  </si>
  <si>
    <t>–</t>
  </si>
  <si>
    <t>identifier</t>
  </si>
  <si>
    <t>from run_id</t>
  </si>
  <si>
    <t>Source</t>
  </si>
  <si>
    <t>Latin hypercube point (new) or validated Tran case</t>
  </si>
  <si>
    <t>from source</t>
  </si>
  <si>
    <t>Used for</t>
  </si>
  <si>
    <t>training = used to fit the surrogates; test (held out) = never used for fitting; frozen-error check = fully coupled run</t>
  </si>
  <si>
    <t>from (set by surrogate_stage1.py)</t>
  </si>
  <si>
    <t>Inlet air temperature (°C)</t>
  </si>
  <si>
    <t>Inlet air temperature</t>
  </si>
  <si>
    <t>°C</t>
  </si>
  <si>
    <t>input</t>
  </si>
  <si>
    <t>from in_t_in</t>
  </si>
  <si>
    <t>Feed (mL/min)</t>
  </si>
  <si>
    <t>Feed mass flow in the model (stated feed in mL/min × 1132 kg/m³ × 0.746, the energy-consistent feed)</t>
  </si>
  <si>
    <t>mL/min</t>
  </si>
  <si>
    <t>from in_feed</t>
  </si>
  <si>
    <t>Feed in the model (g/s)</t>
  </si>
  <si>
    <t>g/s</t>
  </si>
  <si>
    <t>Spray size (µm)</t>
  </si>
  <si>
    <t>Rosin–Rammler size parameter of the spray (follows the feed as in Table 4 of Tran et al.)</t>
  </si>
  <si>
    <t>µm</t>
  </si>
  <si>
    <t>from in_d_mean</t>
  </si>
  <si>
    <t>Spray spread (–)</t>
  </si>
  <si>
    <t>Rosin–Rammler spread of the spray (follows the feed)</t>
  </si>
  <si>
    <t>from in_spread</t>
  </si>
  <si>
    <t>Air temperature 0.85 m above bottom (°C)</t>
  </si>
  <si>
    <t>Air temperature on the tower axis 0.85 m above the bottom (thermocouple position, Table 5 of Tran et al.)</t>
  </si>
  <si>
    <t>validated</t>
  </si>
  <si>
    <t>from t_tc_axis</t>
  </si>
  <si>
    <t>Outlet air temperature (°C)</t>
  </si>
  <si>
    <t>Outlet air temperature, mass-weighted over the air outlet</t>
  </si>
  <si>
    <t>derived</t>
  </si>
  <si>
    <t>from t_out</t>
  </si>
  <si>
    <t>Outlet air humidity (g/kg)</t>
  </si>
  <si>
    <t>Outlet air humidity = h2o_out / (1 − h2o_out)</t>
  </si>
  <si>
    <t>g/kg</t>
  </si>
  <si>
    <t>from Y_out</t>
  </si>
  <si>
    <t>Outlet relative humidity (%)</t>
  </si>
  <si>
    <t>Outlet relative humidity (Antoine vapour pressure)</t>
  </si>
  <si>
    <t>%</t>
  </si>
  <si>
    <t>from RH_out</t>
  </si>
  <si>
    <t>Particle moisture 1.8 m below nozzle (%)</t>
  </si>
  <si>
    <t>Particle moisture, mass-flow-weighted over all particles crossing the plane 1.80 m below the nozzle (Tran et al. sampling level)</t>
  </si>
  <si>
    <t>from w_pct_y4300</t>
  </si>
  <si>
    <t>Particle moisture 3.3 m below nozzle (%)</t>
  </si>
  <si>
    <t>Particle moisture, mass-flow-weighted over all particles crossing the plane 3.30 m below the nozzle (Tran et al. sampling level)</t>
  </si>
  <si>
    <t>from w_pct_y2800</t>
  </si>
  <si>
    <t>Final powder moisture (%)</t>
  </si>
  <si>
    <t>Final powder moisture: mass-weighted water content of all powder leaving the tower</t>
  </si>
  <si>
    <t>from powder_w_pct</t>
  </si>
  <si>
    <t>Powder above 4 % moisture (% of powder)</t>
  </si>
  <si>
    <t>Share of the powder mass above 4 % moisture (USDA Extra Grade limit; Schuck et al. 2008)</t>
  </si>
  <si>
    <t>% of powder</t>
  </si>
  <si>
    <t>indicator</t>
  </si>
  <si>
    <t>from kpi_above_4pct</t>
  </si>
  <si>
    <t>Powder above 5 % moisture (% of powder)</t>
  </si>
  <si>
    <t>Share of the powder mass above 5 % moisture (Codex Stan 207-1999 limit)</t>
  </si>
  <si>
    <t>from kpi_above_5pct</t>
  </si>
  <si>
    <t>Energy per kg water evaporated (MJ/kg)</t>
  </si>
  <si>
    <t>Energy per kg of water evaporated = heater duty / water evaporated</t>
  </si>
  <si>
    <t>MJ/kg</t>
  </si>
  <si>
    <t>from kpi_sec_w</t>
  </si>
  <si>
    <t>Energy per kg powder (MJ/kg)</t>
  </si>
  <si>
    <t>Energy per kg of powder = heater duty / powder production rate</t>
  </si>
  <si>
    <t>from kpi_sec_p</t>
  </si>
  <si>
    <t>Thermal efficiency (%)</t>
  </si>
  <si>
    <t>Thermal efficiency = (T_in − T_out) / (T_in − T_ambient)</t>
  </si>
  <si>
    <t>from kpi_eta_th</t>
  </si>
  <si>
    <t>Heat lost at walls (% of heater duty)</t>
  </si>
  <si>
    <t>Share of the heater duty lost through the walls</t>
  </si>
  <si>
    <t>% of heater duty</t>
  </si>
  <si>
    <t>from kpi_f_wall</t>
  </si>
  <si>
    <t>Peak particle temperature, mean (°C)</t>
  </si>
  <si>
    <t>Peak particle temperature, mass-weighted mean over the powder</t>
  </si>
  <si>
    <t>from kpi_tmax_mean</t>
  </si>
  <si>
    <t>Whey-protein denaturation, mean (%)</t>
  </si>
  <si>
    <t>Whey-protein denaturation in the dryer, mass-weighted mean (Atuonwu, Ray &amp; Stapley 2017 model); empty for runs made before 2 Oct 2026</t>
  </si>
  <si>
    <t>from kpi_denat_mean</t>
  </si>
  <si>
    <t>Whey-protein denaturation, worst 5 % (%)</t>
  </si>
  <si>
    <t>Whey-protein denaturation of the most denatured 5 % of the powder</t>
  </si>
  <si>
    <t>from kpi_denat_p95</t>
  </si>
  <si>
    <t>Powder D50, calculated (µm)</t>
  </si>
  <si>
    <t>All powder (both outlets): median size by mass (calculated from the spray, not predicted)</t>
  </si>
  <si>
    <t>from powder_D50_um</t>
  </si>
  <si>
    <t>Powder leaving with exhaust air (%)</t>
  </si>
  <si>
    <t>Share of the powder leaving with the exhaust air (to the cyclone)</t>
  </si>
  <si>
    <t>from kpi_exhaust</t>
  </si>
  <si>
    <t>All columns</t>
  </si>
  <si>
    <t>run_id</t>
  </si>
  <si>
    <t>Run name: S1_xxx = Latin-hypercube point (S1_xxx_c = its fully coupled run); A150_..., C130_... = validated Tran case (_frz = frozen-field run)</t>
  </si>
  <si>
    <t>build_dataset.py</t>
  </si>
  <si>
    <t>mode</t>
  </si>
  <si>
    <t>frozen = air flow copied from the converged A150 run, only heat, humidity and droplets solved; coupled = everything solved</t>
  </si>
  <si>
    <t>source</t>
  </si>
  <si>
    <t>lhs = new Latin-hypercube point; validated = one of the six Tran et al. (2017) cases</t>
  </si>
  <si>
    <t>in_Y_in</t>
  </si>
  <si>
    <t>Inlet air humidity, fixed</t>
  </si>
  <si>
    <t>kg water/kg dry air</t>
  </si>
  <si>
    <t>input (fixed)</t>
  </si>
  <si>
    <t>companion study (JST 2018)</t>
  </si>
  <si>
    <t>in_d_mean</t>
  </si>
  <si>
    <t>m</t>
  </si>
  <si>
    <t>sampling plan</t>
  </si>
  <si>
    <t>in_feed</t>
  </si>
  <si>
    <t>kg/s</t>
  </si>
  <si>
    <t>in_half_angle_deg</t>
  </si>
  <si>
    <t>Spray cone half-angle, fixed</t>
  </si>
  <si>
    <t>°</t>
  </si>
  <si>
    <t>model setting</t>
  </si>
  <si>
    <t>in_m_air</t>
  </si>
  <si>
    <t>Inlet air mass flow (humid air), fixed</t>
  </si>
  <si>
    <t>Tran et al. (2017): 270 kg/h</t>
  </si>
  <si>
    <t>in_spread</t>
  </si>
  <si>
    <t>in_t_feed</t>
  </si>
  <si>
    <t>Feed temperature, fixed</t>
  </si>
  <si>
    <t>K</t>
  </si>
  <si>
    <t>Tran et al. (2017): 20 °C</t>
  </si>
  <si>
    <t>in_t_in</t>
  </si>
  <si>
    <t>sampling plan (make_doe.py) / Tran case</t>
  </si>
  <si>
    <t>in_velocity</t>
  </si>
  <si>
    <t>Droplet injection speed, fixed</t>
  </si>
  <si>
    <t>m/s</t>
  </si>
  <si>
    <t>calibrated (80 m/s)</t>
  </si>
  <si>
    <t>in_xs0</t>
  </si>
  <si>
    <t>Feed solids mass fraction, fixed</t>
  </si>
  <si>
    <t>kg/kg</t>
  </si>
  <si>
    <t>Tran et al. (2017): 30 wt %</t>
  </si>
  <si>
    <t>RH_out</t>
  </si>
  <si>
    <t>fraction (0–1)</t>
  </si>
  <si>
    <t>Y_out</t>
  </si>
  <si>
    <t>air_outlet_D10_um</t>
  </si>
  <si>
    <t>Particles leaving with the exhaust air: size below which 10 % of the mass lies (calculated from the spray, not predicted)</t>
  </si>
  <si>
    <t>outlet particle samples</t>
  </si>
  <si>
    <t>air_outlet_D32_um</t>
  </si>
  <si>
    <t>Particles leaving with the exhaust air: Sauter mean diameter (calculated)</t>
  </si>
  <si>
    <t>air_outlet_D50_um</t>
  </si>
  <si>
    <t>Particles leaving with the exhaust air: median size by mass (calculated from the spray, not predicted)</t>
  </si>
  <si>
    <t>air_outlet_D90_um</t>
  </si>
  <si>
    <t>Particles leaving with the exhaust air: size below which 90 % of the mass lies (calculated)</t>
  </si>
  <si>
    <t>air_outlet_RR_mean_um</t>
  </si>
  <si>
    <t>Particles leaving with the exhaust air: Rosin–Rammler size parameter fitted to the particles</t>
  </si>
  <si>
    <t>air_outlet_RR_spread</t>
  </si>
  <si>
    <t>Particles leaving with the exhaust air: Rosin–Rammler spread fitted to the particles</t>
  </si>
  <si>
    <t>air_outlet_Tp_max_mean_K</t>
  </si>
  <si>
    <t>Particles leaving with the exhaust air: mass-weighted mean of the particles' peak temperature</t>
  </si>
  <si>
    <t>diagnostic</t>
  </si>
  <si>
    <t>air_outlet_age_mean_s</t>
  </si>
  <si>
    <t>Particles leaving with the exhaust air: mean residence time from the nozzle</t>
  </si>
  <si>
    <t>s</t>
  </si>
  <si>
    <t>air_outlet_age_t10_s</t>
  </si>
  <si>
    <t>Particles leaving with the exhaust air: residence time, 10th percentile</t>
  </si>
  <si>
    <t>air_outlet_age_t50_s</t>
  </si>
  <si>
    <t>Particles leaving with the exhaust air: residence time, median</t>
  </si>
  <si>
    <t>air_outlet_age_t90_s</t>
  </si>
  <si>
    <t>Particles leaving with the exhaust air: residence time, 90th percentile</t>
  </si>
  <si>
    <t>air_outlet_solids_kgs</t>
  </si>
  <si>
    <t>Particles leaving with the exhaust air: solids mass flow</t>
  </si>
  <si>
    <t>air_outlet_span</t>
  </si>
  <si>
    <t>Particles leaving with the exhaust air: size span (D90 − D10) / D50</t>
  </si>
  <si>
    <t>air_outlet_t_hot_mean_s</t>
  </si>
  <si>
    <t>Particles leaving with the exhaust air: mass-weighted mean time above 70 °C</t>
  </si>
  <si>
    <t>air_outlet_w_pct</t>
  </si>
  <si>
    <t>Particles leaving with the exhaust air: mass-weighted moisture</t>
  </si>
  <si>
    <t>% (wet basis)</t>
  </si>
  <si>
    <t>drying_length_m</t>
  </si>
  <si>
    <t>Distance below the nozzle after which the particle moisture stays within 1 point of its final value</t>
  </si>
  <si>
    <t>postprocess.summary</t>
  </si>
  <si>
    <t>fraction_to_product_outlet</t>
  </si>
  <si>
    <t>Share of the powder solids leaving through the product outlet (the rest leaves with the exhaust air)</t>
  </si>
  <si>
    <t>h2o_out</t>
  </si>
  <si>
    <t>Water-vapour mass fraction of the outlet air, mass-weighted</t>
  </si>
  <si>
    <t>kg/kg humid air</t>
  </si>
  <si>
    <t>Fluent report</t>
  </si>
  <si>
    <t>kpi_above_4pct</t>
  </si>
  <si>
    <t>plant_outputs.py</t>
  </si>
  <si>
    <t>kpi_above_5pct</t>
  </si>
  <si>
    <t>kpi_denat_mean</t>
  </si>
  <si>
    <t>UDF scalar whey_native</t>
  </si>
  <si>
    <t>kpi_denat_p95</t>
  </si>
  <si>
    <t>kpi_e</t>
  </si>
  <si>
    <t>Water evaporated</t>
  </si>
  <si>
    <t>kg/h</t>
  </si>
  <si>
    <t>Fluent DPM mass source</t>
  </si>
  <si>
    <t>kpi_eta_ev</t>
  </si>
  <si>
    <t>Evaporative efficiency = heat used for evaporation / heater duty</t>
  </si>
  <si>
    <t>kpi_eta_th</t>
  </si>
  <si>
    <t>kpi_exhaust</t>
  </si>
  <si>
    <t>kpi_f_evap</t>
  </si>
  <si>
    <t>Share of the heater duty used for evaporation</t>
  </si>
  <si>
    <t>kpi_f_exh</t>
  </si>
  <si>
    <t>Share of the heater duty leaving with the exhaust air (by difference)</t>
  </si>
  <si>
    <t>kpi_f_pow</t>
  </si>
  <si>
    <t>Share of the heater duty used to heat the powder</t>
  </si>
  <si>
    <t>kpi_f_wall</t>
  </si>
  <si>
    <t>kpi_hot_share</t>
  </si>
  <si>
    <t>Share of the powder whose temperature exceeded 70 °C at some point</t>
  </si>
  <si>
    <t>UDF counter t_hot</t>
  </si>
  <si>
    <t>kpi_p</t>
  </si>
  <si>
    <t>Powder production rate (solids / (1 − powder moisture))</t>
  </si>
  <si>
    <t>kpi_q_heat</t>
  </si>
  <si>
    <t>Heater duty: heat to warm the inlet air from 20 °C to the inlet temperature</t>
  </si>
  <si>
    <t>kW</t>
  </si>
  <si>
    <t>kpi_sec_p</t>
  </si>
  <si>
    <t>kpi_sec_w</t>
  </si>
  <si>
    <t>kpi_thot_mean</t>
  </si>
  <si>
    <t>Time above 70 °C, mass-weighted mean</t>
  </si>
  <si>
    <t>kpi_thot_p95</t>
  </si>
  <si>
    <t>Time above 70 °C of the top 5 % of the powder</t>
  </si>
  <si>
    <t>kpi_tmax_mean</t>
  </si>
  <si>
    <t>UDF counter Tp_max</t>
  </si>
  <si>
    <t>kpi_tmax_p95</t>
  </si>
  <si>
    <t>Peak particle temperature of the hottest 5 % of the powder</t>
  </si>
  <si>
    <t>kpi_w_mean</t>
  </si>
  <si>
    <t>Mean powder moisture at the outlets (same as powder_w_pct)</t>
  </si>
  <si>
    <t>kpi_w_p95</t>
  </si>
  <si>
    <t>Moisture of the wettest 5 % of the powder (95th percentile by mass)</t>
  </si>
  <si>
    <t>powder_D10_um</t>
  </si>
  <si>
    <t>All powder (both outlets): size below which 10 % of the mass lies (calculated from the spray, not predicted)</t>
  </si>
  <si>
    <t>powder_D32_um</t>
  </si>
  <si>
    <t>All powder (both outlets): Sauter mean diameter (calculated)</t>
  </si>
  <si>
    <t>powder_D50_um</t>
  </si>
  <si>
    <t>powder_D90_um</t>
  </si>
  <si>
    <t>All powder (both outlets): size below which 90 % of the mass lies (calculated)</t>
  </si>
  <si>
    <t>powder_RR_mean_um</t>
  </si>
  <si>
    <t>All powder (both outlets): Rosin–Rammler size parameter fitted to the particles</t>
  </si>
  <si>
    <t>powder_RR_spread</t>
  </si>
  <si>
    <t>All powder (both outlets): Rosin–Rammler spread fitted to the particles</t>
  </si>
  <si>
    <t>powder_age_mean_s</t>
  </si>
  <si>
    <t>All powder (both outlets): mean residence time from the nozzle</t>
  </si>
  <si>
    <t>powder_age_t10_s</t>
  </si>
  <si>
    <t>All powder (both outlets): residence time, 10th percentile</t>
  </si>
  <si>
    <t>powder_age_t50_s</t>
  </si>
  <si>
    <t>All powder (both outlets): residence time, median</t>
  </si>
  <si>
    <t>powder_age_t90_s</t>
  </si>
  <si>
    <t>All powder (both outlets): residence time, 90th percentile</t>
  </si>
  <si>
    <t>powder_span</t>
  </si>
  <si>
    <t>All powder (both outlets): size span (D90 − D10) / D50</t>
  </si>
  <si>
    <t>powder_w_pct</t>
  </si>
  <si>
    <t>product_outlet_D10_um</t>
  </si>
  <si>
    <t>Particles leaving through the product outlet (bottom): size below which 10 % of the mass lies (calculated from the spray, not predicted)</t>
  </si>
  <si>
    <t>product_outlet_D32_um</t>
  </si>
  <si>
    <t>Particles leaving through the product outlet (bottom): Sauter mean diameter (calculated)</t>
  </si>
  <si>
    <t>product_outlet_D50_um</t>
  </si>
  <si>
    <t>Particles leaving through the product outlet (bottom): median size by mass (calculated from the spray, not predicted)</t>
  </si>
  <si>
    <t>product_outlet_D90_um</t>
  </si>
  <si>
    <t>Particles leaving through the product outlet (bottom): size below which 90 % of the mass lies (calculated)</t>
  </si>
  <si>
    <t>product_outlet_RR_mean_um</t>
  </si>
  <si>
    <t>Particles leaving through the product outlet (bottom): Rosin–Rammler size parameter fitted to the particles</t>
  </si>
  <si>
    <t>product_outlet_RR_spread</t>
  </si>
  <si>
    <t>Particles leaving through the product outlet (bottom): Rosin–Rammler spread fitted to the particles</t>
  </si>
  <si>
    <t>product_outlet_Tp_max_mean_K</t>
  </si>
  <si>
    <t>Particles leaving through the product outlet (bottom): mass-weighted mean of the particles' peak temperature</t>
  </si>
  <si>
    <t>product_outlet_age_mean_s</t>
  </si>
  <si>
    <t>Particles leaving through the product outlet (bottom): mean residence time from the nozzle</t>
  </si>
  <si>
    <t>product_outlet_age_t10_s</t>
  </si>
  <si>
    <t>Particles leaving through the product outlet (bottom): residence time, 10th percentile</t>
  </si>
  <si>
    <t>product_outlet_age_t50_s</t>
  </si>
  <si>
    <t>Particles leaving through the product outlet (bottom): residence time, median</t>
  </si>
  <si>
    <t>product_outlet_age_t90_s</t>
  </si>
  <si>
    <t>Particles leaving through the product outlet (bottom): residence time, 90th percentile</t>
  </si>
  <si>
    <t>product_outlet_solids_kgs</t>
  </si>
  <si>
    <t>Particles leaving through the product outlet (bottom): solids mass flow</t>
  </si>
  <si>
    <t>product_outlet_span</t>
  </si>
  <si>
    <t>Particles leaving through the product outlet (bottom): size span (D90 − D10) / D50</t>
  </si>
  <si>
    <t>product_outlet_t_hot_mean_s</t>
  </si>
  <si>
    <t>Particles leaving through the product outlet (bottom): mass-weighted mean time above 70 °C</t>
  </si>
  <si>
    <t>product_outlet_w_pct</t>
  </si>
  <si>
    <t>Particles leaving through the product outlet (bottom): mass-weighted moisture</t>
  </si>
  <si>
    <t>t_out</t>
  </si>
  <si>
    <t>Fluent report (surface mass average)</t>
  </si>
  <si>
    <t>t_tc_area</t>
  </si>
  <si>
    <t>Air temperature averaged over the plane 0.85 m above the bottom</t>
  </si>
  <si>
    <t>validated (alternative)</t>
  </si>
  <si>
    <t>Fluent report (area average)</t>
  </si>
  <si>
    <t>t_tc_axis</t>
  </si>
  <si>
    <t>t_y0600</t>
  </si>
  <si>
    <t>Air temperature averaged over the horizontal plane 0.60 m above the bottom (5.50 m below the nozzle)</t>
  </si>
  <si>
    <t>t_y0800</t>
  </si>
  <si>
    <t>Air temperature averaged over the horizontal plane 0.80 m above the bottom (5.30 m below the nozzle)</t>
  </si>
  <si>
    <t>t_y0850</t>
  </si>
  <si>
    <t>Air temperature averaged over the horizontal plane 0.85 m above the bottom (5.25 m below the nozzle)</t>
  </si>
  <si>
    <t>t_y1100</t>
  </si>
  <si>
    <t>Air temperature averaged over the horizontal plane 1.10 m above the bottom (5.00 m below the nozzle)</t>
  </si>
  <si>
    <t>t_y1600</t>
  </si>
  <si>
    <t>Air temperature averaged over the horizontal plane 1.60 m above the bottom (4.50 m below the nozzle)</t>
  </si>
  <si>
    <t>t_y2100</t>
  </si>
  <si>
    <t>Air temperature averaged over the horizontal plane 2.10 m above the bottom (4.00 m below the nozzle)</t>
  </si>
  <si>
    <t>t_y2600</t>
  </si>
  <si>
    <t>Air temperature averaged over the horizontal plane 2.60 m above the bottom (3.50 m below the nozzle)</t>
  </si>
  <si>
    <t>t_y2800</t>
  </si>
  <si>
    <t>Air temperature averaged over the horizontal plane 2.80 m above the bottom (3.30 m below the nozzle)</t>
  </si>
  <si>
    <t>t_y3100</t>
  </si>
  <si>
    <t>Air temperature averaged over the horizontal plane 3.10 m above the bottom (3.00 m below the nozzle)</t>
  </si>
  <si>
    <t>t_y3600</t>
  </si>
  <si>
    <t>Air temperature averaged over the horizontal plane 3.60 m above the bottom (2.50 m below the nozzle)</t>
  </si>
  <si>
    <t>t_y4100</t>
  </si>
  <si>
    <t>Air temperature averaged over the horizontal plane 4.10 m above the bottom (2.00 m below the nozzle)</t>
  </si>
  <si>
    <t>t_y4300</t>
  </si>
  <si>
    <t>Air temperature averaged over the horizontal plane 4.30 m above the bottom (1.80 m below the nozzle)</t>
  </si>
  <si>
    <t>t_y4600</t>
  </si>
  <si>
    <t>Air temperature averaged over the horizontal plane 4.60 m above the bottom (1.50 m below the nozzle)</t>
  </si>
  <si>
    <t>t_y5100</t>
  </si>
  <si>
    <t>Air temperature averaged over the horizontal plane 5.10 m above the bottom (1.00 m below the nozzle)</t>
  </si>
  <si>
    <t>t_y5600</t>
  </si>
  <si>
    <t>Air temperature averaged over the horizontal plane 5.60 m above the bottom (0.50 m below the nozzle)</t>
  </si>
  <si>
    <t>t_y5800</t>
  </si>
  <si>
    <t>Air temperature averaged over the horizontal plane 5.80 m above the bottom (0.30 m below the nozzle)</t>
  </si>
  <si>
    <t>w_pct_y0600</t>
  </si>
  <si>
    <t>Particle moisture, mass-flow-weighted over all particles crossing the plane 5.50 m below the nozzle</t>
  </si>
  <si>
    <t>particle samples at the plane</t>
  </si>
  <si>
    <t>w_pct_y0800</t>
  </si>
  <si>
    <t>Particle moisture, mass-flow-weighted over all particles crossing the plane 5.30 m below the nozzle (Tran et al. sampling level)</t>
  </si>
  <si>
    <t>w_pct_y0850</t>
  </si>
  <si>
    <t>Particle moisture, mass-flow-weighted over all particles crossing the plane 5.25 m below the nozzle</t>
  </si>
  <si>
    <t>w_pct_y1100</t>
  </si>
  <si>
    <t>Particle moisture, mass-flow-weighted over all particles crossing the plane 5.00 m below the nozzle</t>
  </si>
  <si>
    <t>w_pct_y1600</t>
  </si>
  <si>
    <t>Particle moisture, mass-flow-weighted over all particles crossing the plane 4.50 m below the nozzle</t>
  </si>
  <si>
    <t>w_pct_y2100</t>
  </si>
  <si>
    <t>Particle moisture, mass-flow-weighted over all particles crossing the plane 4.00 m below the nozzle</t>
  </si>
  <si>
    <t>w_pct_y2600</t>
  </si>
  <si>
    <t>Particle moisture, mass-flow-weighted over all particles crossing the plane 3.50 m below the nozzle (Tran et al. sampling level)</t>
  </si>
  <si>
    <t>w_pct_y2800</t>
  </si>
  <si>
    <t>w_pct_y3100</t>
  </si>
  <si>
    <t>Particle moisture, mass-flow-weighted over all particles crossing the plane 3.00 m below the nozzle</t>
  </si>
  <si>
    <t>w_pct_y3600</t>
  </si>
  <si>
    <t>Particle moisture, mass-flow-weighted over all particles crossing the plane 2.50 m below the nozzle</t>
  </si>
  <si>
    <t>w_pct_y4100</t>
  </si>
  <si>
    <t>Particle moisture, mass-flow-weighted over all particles crossing the plane 2.00 m below the nozzle (Tran et al. sampling level)</t>
  </si>
  <si>
    <t>w_pct_y4300</t>
  </si>
  <si>
    <t>w_pct_y4600</t>
  </si>
  <si>
    <t>Particle moisture, mass-flow-weighted over all particles crossing the plane 1.50 m below the nozzle</t>
  </si>
  <si>
    <t>w_pct_y5100</t>
  </si>
  <si>
    <t>Particle moisture, mass-flow-weighted over all particles crossing the plane 1.00 m below the nozzle</t>
  </si>
  <si>
    <t>w_pct_y5600</t>
  </si>
  <si>
    <t>Particle moisture, mass-flow-weighted over all particles crossing the plane 0.50 m below the nozzle</t>
  </si>
  <si>
    <t>w_pct_y5800</t>
  </si>
  <si>
    <t>Particle moisture, mass-flow-weighted over all particles crossing the plane 0.30 m below the nozzle</t>
  </si>
  <si>
    <t>wall_loss_W</t>
  </si>
  <si>
    <t>Heat lost through the walls to the room</t>
  </si>
  <si>
    <t>W</t>
  </si>
  <si>
    <t>Fluent wall heat-flux reports</t>
  </si>
  <si>
    <t>S1_023</t>
  </si>
  <si>
    <t>Latin hypercube point</t>
  </si>
  <si>
    <t>training</t>
  </si>
  <si>
    <t>S1_005</t>
  </si>
  <si>
    <t>S1_010</t>
  </si>
  <si>
    <t>S1_012</t>
  </si>
  <si>
    <t>S1_030</t>
  </si>
  <si>
    <t>S1_008</t>
  </si>
  <si>
    <t>S1_003</t>
  </si>
  <si>
    <t>S1_014</t>
  </si>
  <si>
    <t>S1_009</t>
  </si>
  <si>
    <t>S1_031</t>
  </si>
  <si>
    <t>test (held out)</t>
  </si>
  <si>
    <t>S1_002</t>
  </si>
  <si>
    <t>S1_021</t>
  </si>
  <si>
    <t>S1_018</t>
  </si>
  <si>
    <t>S1_022</t>
  </si>
  <si>
    <t>S1_027</t>
  </si>
  <si>
    <t>S1_001</t>
  </si>
  <si>
    <t>S1_016</t>
  </si>
  <si>
    <t>S1_019</t>
  </si>
  <si>
    <t>S1_028</t>
  </si>
  <si>
    <t>S1_011</t>
  </si>
  <si>
    <t>S1_015</t>
  </si>
  <si>
    <t>S1_024</t>
  </si>
  <si>
    <t>S1_007</t>
  </si>
  <si>
    <t>S1_017</t>
  </si>
  <si>
    <t>S1_029</t>
  </si>
  <si>
    <t>S1_026</t>
  </si>
  <si>
    <t>S1_020</t>
  </si>
  <si>
    <t>S1_013</t>
  </si>
  <si>
    <t>S1_032</t>
  </si>
  <si>
    <t>S1_006</t>
  </si>
  <si>
    <t>S1_004</t>
  </si>
  <si>
    <t>S1_025</t>
  </si>
  <si>
    <t>A130</t>
  </si>
  <si>
    <t>Validated Tran case</t>
  </si>
  <si>
    <t>B130</t>
  </si>
  <si>
    <t>C130</t>
  </si>
  <si>
    <t>A150</t>
  </si>
  <si>
    <t>B150</t>
  </si>
  <si>
    <t>C150</t>
  </si>
  <si>
    <t>frozen-error check</t>
  </si>
  <si>
    <t>Inlet air (°C)</t>
  </si>
  <si>
    <t>Air temperature 0.85 m (°C), frozen</t>
  </si>
  <si>
    <t>Air temperature 0.85 m (°C), full</t>
  </si>
  <si>
    <t>Air temperature 0.85 m (°C), frozen − full</t>
  </si>
  <si>
    <t>Outlet air temperature (°C), frozen</t>
  </si>
  <si>
    <t>Outlet air temperature (°C), full</t>
  </si>
  <si>
    <t>Outlet air temperature (°C), frozen − full</t>
  </si>
  <si>
    <t>Final powder moisture (%), frozen</t>
  </si>
  <si>
    <t>Final powder moisture (%), full</t>
  </si>
  <si>
    <t>Final powder moisture (%), frozen − full</t>
  </si>
  <si>
    <t>Moisture 1.8 m (%), frozen</t>
  </si>
  <si>
    <t>Moisture 1.8 m (%), full</t>
  </si>
  <si>
    <t>Moisture 1.8 m (%), frozen − full</t>
  </si>
  <si>
    <t>Energy per kg water (MJ/kg), frozen</t>
  </si>
  <si>
    <t>Energy per kg water (MJ/kg), full</t>
  </si>
  <si>
    <t>Energy per kg water (MJ/kg), frozen − full</t>
  </si>
  <si>
    <t>frozen</t>
  </si>
  <si>
    <t>lhs</t>
  </si>
  <si>
    <t>S1_003_c</t>
  </si>
  <si>
    <t>coupled</t>
  </si>
  <si>
    <t>S1_005_c</t>
  </si>
  <si>
    <t>S1_008_c</t>
  </si>
  <si>
    <t>S1_010_c</t>
  </si>
  <si>
    <t>S1_021_c</t>
  </si>
  <si>
    <t>A150_F_T4_v80_m15_frz</t>
  </si>
  <si>
    <t>A150_F_T4_v80_m15</t>
  </si>
  <si>
    <t>B150_F_T4_v80_m15_frz</t>
  </si>
  <si>
    <t>B150_F_T4_v80_m15</t>
  </si>
  <si>
    <t>C150_F_T4B_v80_m15_frz</t>
  </si>
  <si>
    <t>C150_F_T4B_v80_m15</t>
  </si>
  <si>
    <t>A130_F_T4_v80_m15_frz</t>
  </si>
  <si>
    <t>A130_F_T4_v80_m15</t>
  </si>
  <si>
    <t>B130_F_T4_v80_m15_frz</t>
  </si>
  <si>
    <t>B130_F_T4_v80_m15</t>
  </si>
  <si>
    <t>C130_F_T4B_v80_m15_frz</t>
  </si>
  <si>
    <t>C130_F_T4B_v80_m15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</si>
</sst>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49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/>
  </sheetViews>
  <sheetFormatPr defaultRowHeight="14.4" x14ac:dyDescent="0.3"/>
  <cols>
    <col min="1" max="1" width="120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s="1" t="s">
        <v>2</v>
      </c>
    </row>
    <row r="5" spans="1:1" ht="26.4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/>
    </row>
    <row r="9" spans="1:1" x14ac:dyDescent="0.3">
      <c r="A9" s="1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/>
    </row>
    <row r="14" spans="1:1" x14ac:dyDescent="0.3">
      <c r="A14" s="1" t="s">
        <v>10</v>
      </c>
    </row>
    <row r="15" spans="1:1" ht="26.4" x14ac:dyDescent="0.3">
      <c r="A15" s="2" t="s">
        <v>11</v>
      </c>
    </row>
    <row r="16" spans="1:1" ht="26.4" x14ac:dyDescent="0.3">
      <c r="A16" s="2" t="s">
        <v>12</v>
      </c>
    </row>
    <row r="17" spans="1:1" x14ac:dyDescent="0.3">
      <c r="A17" s="2" t="s">
        <v>13</v>
      </c>
    </row>
    <row r="18" spans="1:1" x14ac:dyDescent="0.3">
      <c r="A18" s="2"/>
    </row>
    <row r="19" spans="1:1" x14ac:dyDescent="0.3">
      <c r="A19" s="1" t="s">
        <v>14</v>
      </c>
    </row>
    <row r="20" spans="1:1" ht="26.4" x14ac:dyDescent="0.3">
      <c r="A20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30" customWidth="1"/>
    <col min="3" max="3" width="80" customWidth="1"/>
    <col min="4" max="5" width="18" customWidth="1"/>
    <col min="6" max="6" width="30" customWidth="1"/>
  </cols>
  <sheetData>
    <row r="1" spans="1:6" ht="58.05" customHeight="1" x14ac:dyDescent="0.3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spans="1:6" x14ac:dyDescent="0.3">
      <c r="A2" s="2" t="s">
        <v>22</v>
      </c>
      <c r="B2" s="2" t="s">
        <v>23</v>
      </c>
      <c r="C2" s="2" t="s">
        <v>24</v>
      </c>
      <c r="D2" s="2" t="s">
        <v>25</v>
      </c>
      <c r="E2" s="4" t="s">
        <v>26</v>
      </c>
      <c r="F2" s="2" t="s">
        <v>27</v>
      </c>
    </row>
    <row r="3" spans="1:6" x14ac:dyDescent="0.3">
      <c r="A3" s="2" t="s">
        <v>22</v>
      </c>
      <c r="B3" s="2" t="s">
        <v>28</v>
      </c>
      <c r="C3" s="2" t="s">
        <v>29</v>
      </c>
      <c r="D3" s="2" t="s">
        <v>25</v>
      </c>
      <c r="E3" s="4" t="s">
        <v>26</v>
      </c>
      <c r="F3" s="2" t="s">
        <v>30</v>
      </c>
    </row>
    <row r="4" spans="1:6" ht="26.4" x14ac:dyDescent="0.3">
      <c r="A4" s="2" t="s">
        <v>22</v>
      </c>
      <c r="B4" s="2" t="s">
        <v>31</v>
      </c>
      <c r="C4" s="2" t="s">
        <v>32</v>
      </c>
      <c r="D4" s="2" t="s">
        <v>25</v>
      </c>
      <c r="E4" s="4" t="s">
        <v>26</v>
      </c>
      <c r="F4" s="2" t="s">
        <v>33</v>
      </c>
    </row>
    <row r="5" spans="1:6" x14ac:dyDescent="0.3">
      <c r="A5" s="2" t="s">
        <v>22</v>
      </c>
      <c r="B5" s="2" t="s">
        <v>34</v>
      </c>
      <c r="C5" s="2" t="s">
        <v>35</v>
      </c>
      <c r="D5" s="2" t="s">
        <v>36</v>
      </c>
      <c r="E5" s="5" t="s">
        <v>37</v>
      </c>
      <c r="F5" s="2" t="s">
        <v>38</v>
      </c>
    </row>
    <row r="6" spans="1:6" ht="26.4" x14ac:dyDescent="0.3">
      <c r="A6" s="2" t="s">
        <v>22</v>
      </c>
      <c r="B6" s="2" t="s">
        <v>39</v>
      </c>
      <c r="C6" s="2" t="s">
        <v>40</v>
      </c>
      <c r="D6" s="2" t="s">
        <v>41</v>
      </c>
      <c r="E6" s="5" t="s">
        <v>37</v>
      </c>
      <c r="F6" s="2" t="s">
        <v>42</v>
      </c>
    </row>
    <row r="7" spans="1:6" ht="26.4" x14ac:dyDescent="0.3">
      <c r="A7" s="2" t="s">
        <v>22</v>
      </c>
      <c r="B7" s="2" t="s">
        <v>43</v>
      </c>
      <c r="C7" s="2" t="s">
        <v>40</v>
      </c>
      <c r="D7" s="2" t="s">
        <v>44</v>
      </c>
      <c r="E7" s="5" t="s">
        <v>37</v>
      </c>
      <c r="F7" s="2" t="s">
        <v>42</v>
      </c>
    </row>
    <row r="8" spans="1:6" x14ac:dyDescent="0.3">
      <c r="A8" s="2" t="s">
        <v>22</v>
      </c>
      <c r="B8" s="2" t="s">
        <v>45</v>
      </c>
      <c r="C8" s="2" t="s">
        <v>46</v>
      </c>
      <c r="D8" s="2" t="s">
        <v>47</v>
      </c>
      <c r="E8" s="5" t="s">
        <v>37</v>
      </c>
      <c r="F8" s="2" t="s">
        <v>48</v>
      </c>
    </row>
    <row r="9" spans="1:6" x14ac:dyDescent="0.3">
      <c r="A9" s="2" t="s">
        <v>22</v>
      </c>
      <c r="B9" s="2" t="s">
        <v>49</v>
      </c>
      <c r="C9" s="2" t="s">
        <v>50</v>
      </c>
      <c r="D9" s="2" t="s">
        <v>25</v>
      </c>
      <c r="E9" s="5" t="s">
        <v>37</v>
      </c>
      <c r="F9" s="2" t="s">
        <v>51</v>
      </c>
    </row>
    <row r="10" spans="1:6" ht="26.4" x14ac:dyDescent="0.3">
      <c r="A10" s="2" t="s">
        <v>22</v>
      </c>
      <c r="B10" s="2" t="s">
        <v>52</v>
      </c>
      <c r="C10" s="2" t="s">
        <v>53</v>
      </c>
      <c r="D10" s="2" t="s">
        <v>36</v>
      </c>
      <c r="E10" s="6" t="s">
        <v>54</v>
      </c>
      <c r="F10" s="2" t="s">
        <v>55</v>
      </c>
    </row>
    <row r="11" spans="1:6" x14ac:dyDescent="0.3">
      <c r="A11" s="2" t="s">
        <v>22</v>
      </c>
      <c r="B11" s="2" t="s">
        <v>56</v>
      </c>
      <c r="C11" s="2" t="s">
        <v>57</v>
      </c>
      <c r="D11" s="2" t="s">
        <v>36</v>
      </c>
      <c r="E11" s="7" t="s">
        <v>58</v>
      </c>
      <c r="F11" s="2" t="s">
        <v>59</v>
      </c>
    </row>
    <row r="12" spans="1:6" x14ac:dyDescent="0.3">
      <c r="A12" s="2" t="s">
        <v>22</v>
      </c>
      <c r="B12" s="2" t="s">
        <v>60</v>
      </c>
      <c r="C12" s="2" t="s">
        <v>61</v>
      </c>
      <c r="D12" s="2" t="s">
        <v>62</v>
      </c>
      <c r="E12" s="7" t="s">
        <v>58</v>
      </c>
      <c r="F12" s="2" t="s">
        <v>63</v>
      </c>
    </row>
    <row r="13" spans="1:6" x14ac:dyDescent="0.3">
      <c r="A13" s="2" t="s">
        <v>22</v>
      </c>
      <c r="B13" s="2" t="s">
        <v>64</v>
      </c>
      <c r="C13" s="2" t="s">
        <v>65</v>
      </c>
      <c r="D13" s="2" t="s">
        <v>66</v>
      </c>
      <c r="E13" s="7" t="s">
        <v>58</v>
      </c>
      <c r="F13" s="2" t="s">
        <v>67</v>
      </c>
    </row>
    <row r="14" spans="1:6" ht="26.4" x14ac:dyDescent="0.3">
      <c r="A14" s="2" t="s">
        <v>22</v>
      </c>
      <c r="B14" s="2" t="s">
        <v>68</v>
      </c>
      <c r="C14" s="2" t="s">
        <v>69</v>
      </c>
      <c r="D14" s="2" t="s">
        <v>66</v>
      </c>
      <c r="E14" s="6" t="s">
        <v>54</v>
      </c>
      <c r="F14" s="2" t="s">
        <v>70</v>
      </c>
    </row>
    <row r="15" spans="1:6" ht="26.4" x14ac:dyDescent="0.3">
      <c r="A15" s="2" t="s">
        <v>22</v>
      </c>
      <c r="B15" s="2" t="s">
        <v>71</v>
      </c>
      <c r="C15" s="2" t="s">
        <v>72</v>
      </c>
      <c r="D15" s="2" t="s">
        <v>66</v>
      </c>
      <c r="E15" s="6" t="s">
        <v>54</v>
      </c>
      <c r="F15" s="2" t="s">
        <v>73</v>
      </c>
    </row>
    <row r="16" spans="1:6" x14ac:dyDescent="0.3">
      <c r="A16" s="2" t="s">
        <v>22</v>
      </c>
      <c r="B16" s="2" t="s">
        <v>74</v>
      </c>
      <c r="C16" s="2" t="s">
        <v>75</v>
      </c>
      <c r="D16" s="2" t="s">
        <v>66</v>
      </c>
      <c r="E16" s="6" t="s">
        <v>54</v>
      </c>
      <c r="F16" s="2" t="s">
        <v>76</v>
      </c>
    </row>
    <row r="17" spans="1:6" ht="26.4" x14ac:dyDescent="0.3">
      <c r="A17" s="2" t="s">
        <v>22</v>
      </c>
      <c r="B17" s="2" t="s">
        <v>77</v>
      </c>
      <c r="C17" s="2" t="s">
        <v>78</v>
      </c>
      <c r="D17" s="2" t="s">
        <v>79</v>
      </c>
      <c r="E17" s="8" t="s">
        <v>80</v>
      </c>
      <c r="F17" s="2" t="s">
        <v>81</v>
      </c>
    </row>
    <row r="18" spans="1:6" ht="26.4" x14ac:dyDescent="0.3">
      <c r="A18" s="2" t="s">
        <v>22</v>
      </c>
      <c r="B18" s="2" t="s">
        <v>82</v>
      </c>
      <c r="C18" s="2" t="s">
        <v>83</v>
      </c>
      <c r="D18" s="2" t="s">
        <v>79</v>
      </c>
      <c r="E18" s="8" t="s">
        <v>80</v>
      </c>
      <c r="F18" s="2" t="s">
        <v>84</v>
      </c>
    </row>
    <row r="19" spans="1:6" ht="26.4" x14ac:dyDescent="0.3">
      <c r="A19" s="2" t="s">
        <v>22</v>
      </c>
      <c r="B19" s="2" t="s">
        <v>85</v>
      </c>
      <c r="C19" s="2" t="s">
        <v>86</v>
      </c>
      <c r="D19" s="2" t="s">
        <v>87</v>
      </c>
      <c r="E19" s="7" t="s">
        <v>58</v>
      </c>
      <c r="F19" s="2" t="s">
        <v>88</v>
      </c>
    </row>
    <row r="20" spans="1:6" x14ac:dyDescent="0.3">
      <c r="A20" s="2" t="s">
        <v>22</v>
      </c>
      <c r="B20" s="2" t="s">
        <v>89</v>
      </c>
      <c r="C20" s="2" t="s">
        <v>90</v>
      </c>
      <c r="D20" s="2" t="s">
        <v>87</v>
      </c>
      <c r="E20" s="7" t="s">
        <v>58</v>
      </c>
      <c r="F20" s="2" t="s">
        <v>91</v>
      </c>
    </row>
    <row r="21" spans="1:6" x14ac:dyDescent="0.3">
      <c r="A21" s="2" t="s">
        <v>22</v>
      </c>
      <c r="B21" s="2" t="s">
        <v>92</v>
      </c>
      <c r="C21" s="2" t="s">
        <v>93</v>
      </c>
      <c r="D21" s="2" t="s">
        <v>66</v>
      </c>
      <c r="E21" s="7" t="s">
        <v>58</v>
      </c>
      <c r="F21" s="2" t="s">
        <v>94</v>
      </c>
    </row>
    <row r="22" spans="1:6" ht="26.4" x14ac:dyDescent="0.3">
      <c r="A22" s="2" t="s">
        <v>22</v>
      </c>
      <c r="B22" s="2" t="s">
        <v>95</v>
      </c>
      <c r="C22" s="2" t="s">
        <v>96</v>
      </c>
      <c r="D22" s="2" t="s">
        <v>97</v>
      </c>
      <c r="E22" s="7" t="s">
        <v>58</v>
      </c>
      <c r="F22" s="2" t="s">
        <v>98</v>
      </c>
    </row>
    <row r="23" spans="1:6" ht="26.4" x14ac:dyDescent="0.3">
      <c r="A23" s="2" t="s">
        <v>22</v>
      </c>
      <c r="B23" s="2" t="s">
        <v>99</v>
      </c>
      <c r="C23" s="2" t="s">
        <v>100</v>
      </c>
      <c r="D23" s="2" t="s">
        <v>36</v>
      </c>
      <c r="E23" s="8" t="s">
        <v>80</v>
      </c>
      <c r="F23" s="2" t="s">
        <v>101</v>
      </c>
    </row>
    <row r="24" spans="1:6" ht="26.4" x14ac:dyDescent="0.3">
      <c r="A24" s="2" t="s">
        <v>22</v>
      </c>
      <c r="B24" s="2" t="s">
        <v>102</v>
      </c>
      <c r="C24" s="2" t="s">
        <v>103</v>
      </c>
      <c r="D24" s="2" t="s">
        <v>66</v>
      </c>
      <c r="E24" s="8" t="s">
        <v>80</v>
      </c>
      <c r="F24" s="2" t="s">
        <v>104</v>
      </c>
    </row>
    <row r="25" spans="1:6" ht="26.4" x14ac:dyDescent="0.3">
      <c r="A25" s="2" t="s">
        <v>22</v>
      </c>
      <c r="B25" s="2" t="s">
        <v>105</v>
      </c>
      <c r="C25" s="2" t="s">
        <v>106</v>
      </c>
      <c r="D25" s="2" t="s">
        <v>66</v>
      </c>
      <c r="E25" s="8" t="s">
        <v>80</v>
      </c>
      <c r="F25" s="2" t="s">
        <v>107</v>
      </c>
    </row>
    <row r="26" spans="1:6" x14ac:dyDescent="0.3">
      <c r="A26" s="2" t="s">
        <v>22</v>
      </c>
      <c r="B26" s="2" t="s">
        <v>108</v>
      </c>
      <c r="C26" s="2" t="s">
        <v>109</v>
      </c>
      <c r="D26" s="2" t="s">
        <v>47</v>
      </c>
      <c r="E26" s="8" t="s">
        <v>80</v>
      </c>
      <c r="F26" s="2" t="s">
        <v>110</v>
      </c>
    </row>
    <row r="27" spans="1:6" ht="26.4" x14ac:dyDescent="0.3">
      <c r="A27" s="2" t="s">
        <v>22</v>
      </c>
      <c r="B27" s="2" t="s">
        <v>111</v>
      </c>
      <c r="C27" s="2" t="s">
        <v>112</v>
      </c>
      <c r="D27" s="2" t="s">
        <v>66</v>
      </c>
      <c r="E27" s="8" t="s">
        <v>80</v>
      </c>
      <c r="F27" s="2" t="s">
        <v>113</v>
      </c>
    </row>
    <row r="28" spans="1:6" ht="26.4" x14ac:dyDescent="0.3">
      <c r="A28" s="2" t="s">
        <v>114</v>
      </c>
      <c r="B28" s="2" t="s">
        <v>115</v>
      </c>
      <c r="C28" s="2" t="s">
        <v>116</v>
      </c>
      <c r="D28" s="2" t="s">
        <v>25</v>
      </c>
      <c r="E28" s="4" t="s">
        <v>26</v>
      </c>
      <c r="F28" s="2" t="s">
        <v>117</v>
      </c>
    </row>
    <row r="29" spans="1:6" ht="26.4" x14ac:dyDescent="0.3">
      <c r="A29" s="2" t="s">
        <v>114</v>
      </c>
      <c r="B29" s="2" t="s">
        <v>118</v>
      </c>
      <c r="C29" s="2" t="s">
        <v>119</v>
      </c>
      <c r="D29" s="2" t="s">
        <v>25</v>
      </c>
      <c r="E29" s="4" t="s">
        <v>26</v>
      </c>
      <c r="F29" s="2" t="s">
        <v>117</v>
      </c>
    </row>
    <row r="30" spans="1:6" x14ac:dyDescent="0.3">
      <c r="A30" s="2" t="s">
        <v>114</v>
      </c>
      <c r="B30" s="2" t="s">
        <v>120</v>
      </c>
      <c r="C30" s="2" t="s">
        <v>121</v>
      </c>
      <c r="D30" s="2" t="s">
        <v>25</v>
      </c>
      <c r="E30" s="4" t="s">
        <v>26</v>
      </c>
      <c r="F30" s="2" t="s">
        <v>117</v>
      </c>
    </row>
    <row r="31" spans="1:6" x14ac:dyDescent="0.3">
      <c r="A31" s="2" t="s">
        <v>114</v>
      </c>
      <c r="B31" s="2" t="s">
        <v>122</v>
      </c>
      <c r="C31" s="2" t="s">
        <v>123</v>
      </c>
      <c r="D31" s="2" t="s">
        <v>124</v>
      </c>
      <c r="E31" s="5" t="s">
        <v>125</v>
      </c>
      <c r="F31" s="2" t="s">
        <v>126</v>
      </c>
    </row>
    <row r="32" spans="1:6" x14ac:dyDescent="0.3">
      <c r="A32" s="2" t="s">
        <v>114</v>
      </c>
      <c r="B32" s="2" t="s">
        <v>127</v>
      </c>
      <c r="C32" s="2" t="s">
        <v>46</v>
      </c>
      <c r="D32" s="2" t="s">
        <v>128</v>
      </c>
      <c r="E32" s="5" t="s">
        <v>37</v>
      </c>
      <c r="F32" s="2" t="s">
        <v>129</v>
      </c>
    </row>
    <row r="33" spans="1:6" ht="26.4" x14ac:dyDescent="0.3">
      <c r="A33" s="2" t="s">
        <v>114</v>
      </c>
      <c r="B33" s="2" t="s">
        <v>130</v>
      </c>
      <c r="C33" s="2" t="s">
        <v>40</v>
      </c>
      <c r="D33" s="2" t="s">
        <v>131</v>
      </c>
      <c r="E33" s="5" t="s">
        <v>37</v>
      </c>
      <c r="F33" s="2" t="s">
        <v>129</v>
      </c>
    </row>
    <row r="34" spans="1:6" x14ac:dyDescent="0.3">
      <c r="A34" s="2" t="s">
        <v>114</v>
      </c>
      <c r="B34" s="2" t="s">
        <v>132</v>
      </c>
      <c r="C34" s="2" t="s">
        <v>133</v>
      </c>
      <c r="D34" s="2" t="s">
        <v>134</v>
      </c>
      <c r="E34" s="5" t="s">
        <v>125</v>
      </c>
      <c r="F34" s="2" t="s">
        <v>135</v>
      </c>
    </row>
    <row r="35" spans="1:6" x14ac:dyDescent="0.3">
      <c r="A35" s="2" t="s">
        <v>114</v>
      </c>
      <c r="B35" s="2" t="s">
        <v>136</v>
      </c>
      <c r="C35" s="2" t="s">
        <v>137</v>
      </c>
      <c r="D35" s="2" t="s">
        <v>131</v>
      </c>
      <c r="E35" s="5" t="s">
        <v>125</v>
      </c>
      <c r="F35" s="2" t="s">
        <v>138</v>
      </c>
    </row>
    <row r="36" spans="1:6" x14ac:dyDescent="0.3">
      <c r="A36" s="2" t="s">
        <v>114</v>
      </c>
      <c r="B36" s="2" t="s">
        <v>139</v>
      </c>
      <c r="C36" s="2" t="s">
        <v>50</v>
      </c>
      <c r="D36" s="2" t="s">
        <v>25</v>
      </c>
      <c r="E36" s="5" t="s">
        <v>37</v>
      </c>
      <c r="F36" s="2" t="s">
        <v>129</v>
      </c>
    </row>
    <row r="37" spans="1:6" x14ac:dyDescent="0.3">
      <c r="A37" s="2" t="s">
        <v>114</v>
      </c>
      <c r="B37" s="2" t="s">
        <v>140</v>
      </c>
      <c r="C37" s="2" t="s">
        <v>141</v>
      </c>
      <c r="D37" s="2" t="s">
        <v>142</v>
      </c>
      <c r="E37" s="5" t="s">
        <v>125</v>
      </c>
      <c r="F37" s="2" t="s">
        <v>143</v>
      </c>
    </row>
    <row r="38" spans="1:6" ht="26.4" x14ac:dyDescent="0.3">
      <c r="A38" s="2" t="s">
        <v>114</v>
      </c>
      <c r="B38" s="2" t="s">
        <v>144</v>
      </c>
      <c r="C38" s="2" t="s">
        <v>35</v>
      </c>
      <c r="D38" s="2" t="s">
        <v>142</v>
      </c>
      <c r="E38" s="5" t="s">
        <v>37</v>
      </c>
      <c r="F38" s="2" t="s">
        <v>145</v>
      </c>
    </row>
    <row r="39" spans="1:6" x14ac:dyDescent="0.3">
      <c r="A39" s="2" t="s">
        <v>114</v>
      </c>
      <c r="B39" s="2" t="s">
        <v>146</v>
      </c>
      <c r="C39" s="2" t="s">
        <v>147</v>
      </c>
      <c r="D39" s="2" t="s">
        <v>148</v>
      </c>
      <c r="E39" s="5" t="s">
        <v>125</v>
      </c>
      <c r="F39" s="2" t="s">
        <v>149</v>
      </c>
    </row>
    <row r="40" spans="1:6" x14ac:dyDescent="0.3">
      <c r="A40" s="2" t="s">
        <v>114</v>
      </c>
      <c r="B40" s="2" t="s">
        <v>150</v>
      </c>
      <c r="C40" s="2" t="s">
        <v>151</v>
      </c>
      <c r="D40" s="2" t="s">
        <v>152</v>
      </c>
      <c r="E40" s="5" t="s">
        <v>125</v>
      </c>
      <c r="F40" s="2" t="s">
        <v>153</v>
      </c>
    </row>
    <row r="41" spans="1:6" x14ac:dyDescent="0.3">
      <c r="A41" s="2" t="s">
        <v>114</v>
      </c>
      <c r="B41" s="2" t="s">
        <v>154</v>
      </c>
      <c r="C41" s="2" t="s">
        <v>65</v>
      </c>
      <c r="D41" s="2" t="s">
        <v>155</v>
      </c>
      <c r="E41" s="7" t="s">
        <v>58</v>
      </c>
      <c r="F41" s="2" t="s">
        <v>117</v>
      </c>
    </row>
    <row r="42" spans="1:6" x14ac:dyDescent="0.3">
      <c r="A42" s="2" t="s">
        <v>114</v>
      </c>
      <c r="B42" s="2" t="s">
        <v>156</v>
      </c>
      <c r="C42" s="2" t="s">
        <v>61</v>
      </c>
      <c r="D42" s="2" t="s">
        <v>124</v>
      </c>
      <c r="E42" s="7" t="s">
        <v>58</v>
      </c>
      <c r="F42" s="2" t="s">
        <v>117</v>
      </c>
    </row>
    <row r="43" spans="1:6" ht="26.4" x14ac:dyDescent="0.3">
      <c r="A43" s="2" t="s">
        <v>114</v>
      </c>
      <c r="B43" s="2" t="s">
        <v>157</v>
      </c>
      <c r="C43" s="2" t="s">
        <v>158</v>
      </c>
      <c r="D43" s="2" t="s">
        <v>47</v>
      </c>
      <c r="E43" s="8" t="s">
        <v>80</v>
      </c>
      <c r="F43" s="2" t="s">
        <v>159</v>
      </c>
    </row>
    <row r="44" spans="1:6" x14ac:dyDescent="0.3">
      <c r="A44" s="2" t="s">
        <v>114</v>
      </c>
      <c r="B44" s="2" t="s">
        <v>160</v>
      </c>
      <c r="C44" s="2" t="s">
        <v>161</v>
      </c>
      <c r="D44" s="2" t="s">
        <v>47</v>
      </c>
      <c r="E44" s="8" t="s">
        <v>80</v>
      </c>
      <c r="F44" s="2" t="s">
        <v>159</v>
      </c>
    </row>
    <row r="45" spans="1:6" ht="26.4" x14ac:dyDescent="0.3">
      <c r="A45" s="2" t="s">
        <v>114</v>
      </c>
      <c r="B45" s="2" t="s">
        <v>162</v>
      </c>
      <c r="C45" s="2" t="s">
        <v>163</v>
      </c>
      <c r="D45" s="2" t="s">
        <v>47</v>
      </c>
      <c r="E45" s="8" t="s">
        <v>80</v>
      </c>
      <c r="F45" s="2" t="s">
        <v>159</v>
      </c>
    </row>
    <row r="46" spans="1:6" x14ac:dyDescent="0.3">
      <c r="A46" s="2" t="s">
        <v>114</v>
      </c>
      <c r="B46" s="2" t="s">
        <v>164</v>
      </c>
      <c r="C46" s="2" t="s">
        <v>165</v>
      </c>
      <c r="D46" s="2" t="s">
        <v>47</v>
      </c>
      <c r="E46" s="8" t="s">
        <v>80</v>
      </c>
      <c r="F46" s="2" t="s">
        <v>159</v>
      </c>
    </row>
    <row r="47" spans="1:6" x14ac:dyDescent="0.3">
      <c r="A47" s="2" t="s">
        <v>114</v>
      </c>
      <c r="B47" s="2" t="s">
        <v>166</v>
      </c>
      <c r="C47" s="2" t="s">
        <v>167</v>
      </c>
      <c r="D47" s="2" t="s">
        <v>47</v>
      </c>
      <c r="E47" s="8" t="s">
        <v>80</v>
      </c>
      <c r="F47" s="2" t="s">
        <v>159</v>
      </c>
    </row>
    <row r="48" spans="1:6" x14ac:dyDescent="0.3">
      <c r="A48" s="2" t="s">
        <v>114</v>
      </c>
      <c r="B48" s="2" t="s">
        <v>168</v>
      </c>
      <c r="C48" s="2" t="s">
        <v>169</v>
      </c>
      <c r="D48" s="2" t="s">
        <v>25</v>
      </c>
      <c r="E48" s="8" t="s">
        <v>80</v>
      </c>
      <c r="F48" s="2" t="s">
        <v>159</v>
      </c>
    </row>
    <row r="49" spans="1:6" x14ac:dyDescent="0.3">
      <c r="A49" s="2" t="s">
        <v>114</v>
      </c>
      <c r="B49" s="2" t="s">
        <v>170</v>
      </c>
      <c r="C49" s="2" t="s">
        <v>171</v>
      </c>
      <c r="D49" s="2" t="s">
        <v>142</v>
      </c>
      <c r="E49" s="2" t="s">
        <v>172</v>
      </c>
      <c r="F49" s="2" t="s">
        <v>159</v>
      </c>
    </row>
    <row r="50" spans="1:6" x14ac:dyDescent="0.3">
      <c r="A50" s="2" t="s">
        <v>114</v>
      </c>
      <c r="B50" s="2" t="s">
        <v>173</v>
      </c>
      <c r="C50" s="2" t="s">
        <v>174</v>
      </c>
      <c r="D50" s="2" t="s">
        <v>175</v>
      </c>
      <c r="E50" s="2" t="s">
        <v>172</v>
      </c>
      <c r="F50" s="2" t="s">
        <v>159</v>
      </c>
    </row>
    <row r="51" spans="1:6" x14ac:dyDescent="0.3">
      <c r="A51" s="2" t="s">
        <v>114</v>
      </c>
      <c r="B51" s="2" t="s">
        <v>176</v>
      </c>
      <c r="C51" s="2" t="s">
        <v>177</v>
      </c>
      <c r="D51" s="2" t="s">
        <v>175</v>
      </c>
      <c r="E51" s="2" t="s">
        <v>172</v>
      </c>
      <c r="F51" s="2" t="s">
        <v>159</v>
      </c>
    </row>
    <row r="52" spans="1:6" x14ac:dyDescent="0.3">
      <c r="A52" s="2" t="s">
        <v>114</v>
      </c>
      <c r="B52" s="2" t="s">
        <v>178</v>
      </c>
      <c r="C52" s="2" t="s">
        <v>179</v>
      </c>
      <c r="D52" s="2" t="s">
        <v>175</v>
      </c>
      <c r="E52" s="2" t="s">
        <v>172</v>
      </c>
      <c r="F52" s="2" t="s">
        <v>159</v>
      </c>
    </row>
    <row r="53" spans="1:6" x14ac:dyDescent="0.3">
      <c r="A53" s="2" t="s">
        <v>114</v>
      </c>
      <c r="B53" s="2" t="s">
        <v>180</v>
      </c>
      <c r="C53" s="2" t="s">
        <v>181</v>
      </c>
      <c r="D53" s="2" t="s">
        <v>175</v>
      </c>
      <c r="E53" s="2" t="s">
        <v>172</v>
      </c>
      <c r="F53" s="2" t="s">
        <v>159</v>
      </c>
    </row>
    <row r="54" spans="1:6" x14ac:dyDescent="0.3">
      <c r="A54" s="2" t="s">
        <v>114</v>
      </c>
      <c r="B54" s="2" t="s">
        <v>182</v>
      </c>
      <c r="C54" s="2" t="s">
        <v>183</v>
      </c>
      <c r="D54" s="2" t="s">
        <v>131</v>
      </c>
      <c r="E54" s="2" t="s">
        <v>172</v>
      </c>
      <c r="F54" s="2" t="s">
        <v>159</v>
      </c>
    </row>
    <row r="55" spans="1:6" x14ac:dyDescent="0.3">
      <c r="A55" s="2" t="s">
        <v>114</v>
      </c>
      <c r="B55" s="2" t="s">
        <v>184</v>
      </c>
      <c r="C55" s="2" t="s">
        <v>185</v>
      </c>
      <c r="D55" s="2" t="s">
        <v>25</v>
      </c>
      <c r="E55" s="8" t="s">
        <v>80</v>
      </c>
      <c r="F55" s="2" t="s">
        <v>159</v>
      </c>
    </row>
    <row r="56" spans="1:6" x14ac:dyDescent="0.3">
      <c r="A56" s="2" t="s">
        <v>114</v>
      </c>
      <c r="B56" s="2" t="s">
        <v>186</v>
      </c>
      <c r="C56" s="2" t="s">
        <v>187</v>
      </c>
      <c r="D56" s="2" t="s">
        <v>175</v>
      </c>
      <c r="E56" s="2" t="s">
        <v>172</v>
      </c>
      <c r="F56" s="2" t="s">
        <v>159</v>
      </c>
    </row>
    <row r="57" spans="1:6" x14ac:dyDescent="0.3">
      <c r="A57" s="2" t="s">
        <v>114</v>
      </c>
      <c r="B57" s="2" t="s">
        <v>188</v>
      </c>
      <c r="C57" s="2" t="s">
        <v>189</v>
      </c>
      <c r="D57" s="2" t="s">
        <v>190</v>
      </c>
      <c r="E57" s="2" t="s">
        <v>172</v>
      </c>
      <c r="F57" s="2" t="s">
        <v>159</v>
      </c>
    </row>
    <row r="58" spans="1:6" x14ac:dyDescent="0.3">
      <c r="A58" s="2" t="s">
        <v>114</v>
      </c>
      <c r="B58" s="2" t="s">
        <v>191</v>
      </c>
      <c r="C58" s="2" t="s">
        <v>192</v>
      </c>
      <c r="D58" s="2" t="s">
        <v>128</v>
      </c>
      <c r="E58" s="2" t="s">
        <v>172</v>
      </c>
      <c r="F58" s="2" t="s">
        <v>193</v>
      </c>
    </row>
    <row r="59" spans="1:6" ht="26.4" x14ac:dyDescent="0.3">
      <c r="A59" s="2" t="s">
        <v>114</v>
      </c>
      <c r="B59" s="2" t="s">
        <v>194</v>
      </c>
      <c r="C59" s="2" t="s">
        <v>195</v>
      </c>
      <c r="D59" s="2" t="s">
        <v>155</v>
      </c>
      <c r="E59" s="8" t="s">
        <v>80</v>
      </c>
      <c r="F59" s="2" t="s">
        <v>159</v>
      </c>
    </row>
    <row r="60" spans="1:6" x14ac:dyDescent="0.3">
      <c r="A60" s="2" t="s">
        <v>114</v>
      </c>
      <c r="B60" s="2" t="s">
        <v>196</v>
      </c>
      <c r="C60" s="2" t="s">
        <v>197</v>
      </c>
      <c r="D60" s="2" t="s">
        <v>198</v>
      </c>
      <c r="E60" s="7" t="s">
        <v>58</v>
      </c>
      <c r="F60" s="2" t="s">
        <v>199</v>
      </c>
    </row>
    <row r="61" spans="1:6" x14ac:dyDescent="0.3">
      <c r="A61" s="2" t="s">
        <v>114</v>
      </c>
      <c r="B61" s="2" t="s">
        <v>200</v>
      </c>
      <c r="C61" s="2" t="s">
        <v>78</v>
      </c>
      <c r="D61" s="2" t="s">
        <v>66</v>
      </c>
      <c r="E61" s="8" t="s">
        <v>80</v>
      </c>
      <c r="F61" s="2" t="s">
        <v>201</v>
      </c>
    </row>
    <row r="62" spans="1:6" x14ac:dyDescent="0.3">
      <c r="A62" s="2" t="s">
        <v>114</v>
      </c>
      <c r="B62" s="2" t="s">
        <v>202</v>
      </c>
      <c r="C62" s="2" t="s">
        <v>83</v>
      </c>
      <c r="D62" s="2" t="s">
        <v>66</v>
      </c>
      <c r="E62" s="8" t="s">
        <v>80</v>
      </c>
      <c r="F62" s="2" t="s">
        <v>201</v>
      </c>
    </row>
    <row r="63" spans="1:6" ht="26.4" x14ac:dyDescent="0.3">
      <c r="A63" s="2" t="s">
        <v>114</v>
      </c>
      <c r="B63" s="2" t="s">
        <v>203</v>
      </c>
      <c r="C63" s="2" t="s">
        <v>103</v>
      </c>
      <c r="D63" s="2" t="s">
        <v>66</v>
      </c>
      <c r="E63" s="8" t="s">
        <v>80</v>
      </c>
      <c r="F63" s="2" t="s">
        <v>204</v>
      </c>
    </row>
    <row r="64" spans="1:6" x14ac:dyDescent="0.3">
      <c r="A64" s="2" t="s">
        <v>114</v>
      </c>
      <c r="B64" s="2" t="s">
        <v>205</v>
      </c>
      <c r="C64" s="2" t="s">
        <v>106</v>
      </c>
      <c r="D64" s="2" t="s">
        <v>66</v>
      </c>
      <c r="E64" s="8" t="s">
        <v>80</v>
      </c>
      <c r="F64" s="2" t="s">
        <v>204</v>
      </c>
    </row>
    <row r="65" spans="1:6" x14ac:dyDescent="0.3">
      <c r="A65" s="2" t="s">
        <v>114</v>
      </c>
      <c r="B65" s="2" t="s">
        <v>206</v>
      </c>
      <c r="C65" s="2" t="s">
        <v>207</v>
      </c>
      <c r="D65" s="2" t="s">
        <v>208</v>
      </c>
      <c r="E65" s="7" t="s">
        <v>58</v>
      </c>
      <c r="F65" s="2" t="s">
        <v>209</v>
      </c>
    </row>
    <row r="66" spans="1:6" x14ac:dyDescent="0.3">
      <c r="A66" s="2" t="s">
        <v>114</v>
      </c>
      <c r="B66" s="2" t="s">
        <v>210</v>
      </c>
      <c r="C66" s="2" t="s">
        <v>211</v>
      </c>
      <c r="D66" s="2" t="s">
        <v>66</v>
      </c>
      <c r="E66" s="7" t="s">
        <v>58</v>
      </c>
      <c r="F66" s="2" t="s">
        <v>201</v>
      </c>
    </row>
    <row r="67" spans="1:6" x14ac:dyDescent="0.3">
      <c r="A67" s="2" t="s">
        <v>114</v>
      </c>
      <c r="B67" s="2" t="s">
        <v>212</v>
      </c>
      <c r="C67" s="2" t="s">
        <v>93</v>
      </c>
      <c r="D67" s="2" t="s">
        <v>66</v>
      </c>
      <c r="E67" s="7" t="s">
        <v>58</v>
      </c>
      <c r="F67" s="2" t="s">
        <v>201</v>
      </c>
    </row>
    <row r="68" spans="1:6" x14ac:dyDescent="0.3">
      <c r="A68" s="2" t="s">
        <v>114</v>
      </c>
      <c r="B68" s="2" t="s">
        <v>213</v>
      </c>
      <c r="C68" s="2" t="s">
        <v>112</v>
      </c>
      <c r="D68" s="2" t="s">
        <v>66</v>
      </c>
      <c r="E68" s="8" t="s">
        <v>80</v>
      </c>
      <c r="F68" s="2" t="s">
        <v>159</v>
      </c>
    </row>
    <row r="69" spans="1:6" x14ac:dyDescent="0.3">
      <c r="A69" s="2" t="s">
        <v>114</v>
      </c>
      <c r="B69" s="2" t="s">
        <v>214</v>
      </c>
      <c r="C69" s="2" t="s">
        <v>215</v>
      </c>
      <c r="D69" s="2" t="s">
        <v>66</v>
      </c>
      <c r="E69" s="7" t="s">
        <v>58</v>
      </c>
      <c r="F69" s="2" t="s">
        <v>201</v>
      </c>
    </row>
    <row r="70" spans="1:6" x14ac:dyDescent="0.3">
      <c r="A70" s="2" t="s">
        <v>114</v>
      </c>
      <c r="B70" s="2" t="s">
        <v>216</v>
      </c>
      <c r="C70" s="2" t="s">
        <v>217</v>
      </c>
      <c r="D70" s="2" t="s">
        <v>66</v>
      </c>
      <c r="E70" s="7" t="s">
        <v>58</v>
      </c>
      <c r="F70" s="2" t="s">
        <v>201</v>
      </c>
    </row>
    <row r="71" spans="1:6" x14ac:dyDescent="0.3">
      <c r="A71" s="2" t="s">
        <v>114</v>
      </c>
      <c r="B71" s="2" t="s">
        <v>218</v>
      </c>
      <c r="C71" s="2" t="s">
        <v>219</v>
      </c>
      <c r="D71" s="2" t="s">
        <v>66</v>
      </c>
      <c r="E71" s="7" t="s">
        <v>58</v>
      </c>
      <c r="F71" s="2" t="s">
        <v>201</v>
      </c>
    </row>
    <row r="72" spans="1:6" x14ac:dyDescent="0.3">
      <c r="A72" s="2" t="s">
        <v>114</v>
      </c>
      <c r="B72" s="2" t="s">
        <v>220</v>
      </c>
      <c r="C72" s="2" t="s">
        <v>96</v>
      </c>
      <c r="D72" s="2" t="s">
        <v>66</v>
      </c>
      <c r="E72" s="7" t="s">
        <v>58</v>
      </c>
      <c r="F72" s="2" t="s">
        <v>201</v>
      </c>
    </row>
    <row r="73" spans="1:6" x14ac:dyDescent="0.3">
      <c r="A73" s="2" t="s">
        <v>114</v>
      </c>
      <c r="B73" s="2" t="s">
        <v>221</v>
      </c>
      <c r="C73" s="2" t="s">
        <v>222</v>
      </c>
      <c r="D73" s="2" t="s">
        <v>66</v>
      </c>
      <c r="E73" s="8" t="s">
        <v>80</v>
      </c>
      <c r="F73" s="2" t="s">
        <v>223</v>
      </c>
    </row>
    <row r="74" spans="1:6" x14ac:dyDescent="0.3">
      <c r="A74" s="2" t="s">
        <v>114</v>
      </c>
      <c r="B74" s="2" t="s">
        <v>224</v>
      </c>
      <c r="C74" s="2" t="s">
        <v>225</v>
      </c>
      <c r="D74" s="2" t="s">
        <v>208</v>
      </c>
      <c r="E74" s="7" t="s">
        <v>58</v>
      </c>
      <c r="F74" s="2" t="s">
        <v>201</v>
      </c>
    </row>
    <row r="75" spans="1:6" x14ac:dyDescent="0.3">
      <c r="A75" s="2" t="s">
        <v>114</v>
      </c>
      <c r="B75" s="2" t="s">
        <v>226</v>
      </c>
      <c r="C75" s="2" t="s">
        <v>227</v>
      </c>
      <c r="D75" s="2" t="s">
        <v>228</v>
      </c>
      <c r="E75" s="7" t="s">
        <v>58</v>
      </c>
      <c r="F75" s="2" t="s">
        <v>201</v>
      </c>
    </row>
    <row r="76" spans="1:6" x14ac:dyDescent="0.3">
      <c r="A76" s="2" t="s">
        <v>114</v>
      </c>
      <c r="B76" s="2" t="s">
        <v>229</v>
      </c>
      <c r="C76" s="2" t="s">
        <v>90</v>
      </c>
      <c r="D76" s="2" t="s">
        <v>87</v>
      </c>
      <c r="E76" s="7" t="s">
        <v>58</v>
      </c>
      <c r="F76" s="2" t="s">
        <v>201</v>
      </c>
    </row>
    <row r="77" spans="1:6" x14ac:dyDescent="0.3">
      <c r="A77" s="2" t="s">
        <v>114</v>
      </c>
      <c r="B77" s="2" t="s">
        <v>230</v>
      </c>
      <c r="C77" s="2" t="s">
        <v>86</v>
      </c>
      <c r="D77" s="2" t="s">
        <v>87</v>
      </c>
      <c r="E77" s="7" t="s">
        <v>58</v>
      </c>
      <c r="F77" s="2" t="s">
        <v>201</v>
      </c>
    </row>
    <row r="78" spans="1:6" x14ac:dyDescent="0.3">
      <c r="A78" s="2" t="s">
        <v>114</v>
      </c>
      <c r="B78" s="2" t="s">
        <v>231</v>
      </c>
      <c r="C78" s="2" t="s">
        <v>232</v>
      </c>
      <c r="D78" s="2" t="s">
        <v>175</v>
      </c>
      <c r="E78" s="8" t="s">
        <v>80</v>
      </c>
      <c r="F78" s="2" t="s">
        <v>223</v>
      </c>
    </row>
    <row r="79" spans="1:6" x14ac:dyDescent="0.3">
      <c r="A79" s="2" t="s">
        <v>114</v>
      </c>
      <c r="B79" s="2" t="s">
        <v>233</v>
      </c>
      <c r="C79" s="2" t="s">
        <v>234</v>
      </c>
      <c r="D79" s="2" t="s">
        <v>175</v>
      </c>
      <c r="E79" s="8" t="s">
        <v>80</v>
      </c>
      <c r="F79" s="2" t="s">
        <v>223</v>
      </c>
    </row>
    <row r="80" spans="1:6" x14ac:dyDescent="0.3">
      <c r="A80" s="2" t="s">
        <v>114</v>
      </c>
      <c r="B80" s="2" t="s">
        <v>235</v>
      </c>
      <c r="C80" s="2" t="s">
        <v>100</v>
      </c>
      <c r="D80" s="2" t="s">
        <v>36</v>
      </c>
      <c r="E80" s="8" t="s">
        <v>80</v>
      </c>
      <c r="F80" s="2" t="s">
        <v>236</v>
      </c>
    </row>
    <row r="81" spans="1:6" x14ac:dyDescent="0.3">
      <c r="A81" s="2" t="s">
        <v>114</v>
      </c>
      <c r="B81" s="2" t="s">
        <v>237</v>
      </c>
      <c r="C81" s="2" t="s">
        <v>238</v>
      </c>
      <c r="D81" s="2" t="s">
        <v>36</v>
      </c>
      <c r="E81" s="8" t="s">
        <v>80</v>
      </c>
      <c r="F81" s="2" t="s">
        <v>236</v>
      </c>
    </row>
    <row r="82" spans="1:6" x14ac:dyDescent="0.3">
      <c r="A82" s="2" t="s">
        <v>114</v>
      </c>
      <c r="B82" s="2" t="s">
        <v>239</v>
      </c>
      <c r="C82" s="2" t="s">
        <v>240</v>
      </c>
      <c r="D82" s="2" t="s">
        <v>190</v>
      </c>
      <c r="E82" s="6" t="s">
        <v>54</v>
      </c>
      <c r="F82" s="2" t="s">
        <v>201</v>
      </c>
    </row>
    <row r="83" spans="1:6" x14ac:dyDescent="0.3">
      <c r="A83" s="2" t="s">
        <v>114</v>
      </c>
      <c r="B83" s="2" t="s">
        <v>241</v>
      </c>
      <c r="C83" s="2" t="s">
        <v>242</v>
      </c>
      <c r="D83" s="2" t="s">
        <v>190</v>
      </c>
      <c r="E83" s="8" t="s">
        <v>80</v>
      </c>
      <c r="F83" s="2" t="s">
        <v>201</v>
      </c>
    </row>
    <row r="84" spans="1:6" ht="26.4" x14ac:dyDescent="0.3">
      <c r="A84" s="2" t="s">
        <v>114</v>
      </c>
      <c r="B84" s="2" t="s">
        <v>243</v>
      </c>
      <c r="C84" s="2" t="s">
        <v>244</v>
      </c>
      <c r="D84" s="2" t="s">
        <v>47</v>
      </c>
      <c r="E84" s="8" t="s">
        <v>80</v>
      </c>
      <c r="F84" s="2" t="s">
        <v>159</v>
      </c>
    </row>
    <row r="85" spans="1:6" x14ac:dyDescent="0.3">
      <c r="A85" s="2" t="s">
        <v>114</v>
      </c>
      <c r="B85" s="2" t="s">
        <v>245</v>
      </c>
      <c r="C85" s="2" t="s">
        <v>246</v>
      </c>
      <c r="D85" s="2" t="s">
        <v>47</v>
      </c>
      <c r="E85" s="8" t="s">
        <v>80</v>
      </c>
      <c r="F85" s="2" t="s">
        <v>159</v>
      </c>
    </row>
    <row r="86" spans="1:6" x14ac:dyDescent="0.3">
      <c r="A86" s="2" t="s">
        <v>114</v>
      </c>
      <c r="B86" s="2" t="s">
        <v>247</v>
      </c>
      <c r="C86" s="2" t="s">
        <v>109</v>
      </c>
      <c r="D86" s="2" t="s">
        <v>47</v>
      </c>
      <c r="E86" s="8" t="s">
        <v>80</v>
      </c>
      <c r="F86" s="2" t="s">
        <v>159</v>
      </c>
    </row>
    <row r="87" spans="1:6" x14ac:dyDescent="0.3">
      <c r="A87" s="2" t="s">
        <v>114</v>
      </c>
      <c r="B87" s="2" t="s">
        <v>248</v>
      </c>
      <c r="C87" s="2" t="s">
        <v>249</v>
      </c>
      <c r="D87" s="2" t="s">
        <v>47</v>
      </c>
      <c r="E87" s="8" t="s">
        <v>80</v>
      </c>
      <c r="F87" s="2" t="s">
        <v>159</v>
      </c>
    </row>
    <row r="88" spans="1:6" x14ac:dyDescent="0.3">
      <c r="A88" s="2" t="s">
        <v>114</v>
      </c>
      <c r="B88" s="2" t="s">
        <v>250</v>
      </c>
      <c r="C88" s="2" t="s">
        <v>251</v>
      </c>
      <c r="D88" s="2" t="s">
        <v>47</v>
      </c>
      <c r="E88" s="8" t="s">
        <v>80</v>
      </c>
      <c r="F88" s="2" t="s">
        <v>159</v>
      </c>
    </row>
    <row r="89" spans="1:6" x14ac:dyDescent="0.3">
      <c r="A89" s="2" t="s">
        <v>114</v>
      </c>
      <c r="B89" s="2" t="s">
        <v>252</v>
      </c>
      <c r="C89" s="2" t="s">
        <v>253</v>
      </c>
      <c r="D89" s="2" t="s">
        <v>25</v>
      </c>
      <c r="E89" s="8" t="s">
        <v>80</v>
      </c>
      <c r="F89" s="2" t="s">
        <v>159</v>
      </c>
    </row>
    <row r="90" spans="1:6" x14ac:dyDescent="0.3">
      <c r="A90" s="2" t="s">
        <v>114</v>
      </c>
      <c r="B90" s="2" t="s">
        <v>254</v>
      </c>
      <c r="C90" s="2" t="s">
        <v>255</v>
      </c>
      <c r="D90" s="2" t="s">
        <v>175</v>
      </c>
      <c r="E90" s="2" t="s">
        <v>172</v>
      </c>
      <c r="F90" s="2" t="s">
        <v>159</v>
      </c>
    </row>
    <row r="91" spans="1:6" x14ac:dyDescent="0.3">
      <c r="A91" s="2" t="s">
        <v>114</v>
      </c>
      <c r="B91" s="2" t="s">
        <v>256</v>
      </c>
      <c r="C91" s="2" t="s">
        <v>257</v>
      </c>
      <c r="D91" s="2" t="s">
        <v>175</v>
      </c>
      <c r="E91" s="2" t="s">
        <v>172</v>
      </c>
      <c r="F91" s="2" t="s">
        <v>159</v>
      </c>
    </row>
    <row r="92" spans="1:6" x14ac:dyDescent="0.3">
      <c r="A92" s="2" t="s">
        <v>114</v>
      </c>
      <c r="B92" s="2" t="s">
        <v>258</v>
      </c>
      <c r="C92" s="2" t="s">
        <v>259</v>
      </c>
      <c r="D92" s="2" t="s">
        <v>175</v>
      </c>
      <c r="E92" s="2" t="s">
        <v>172</v>
      </c>
      <c r="F92" s="2" t="s">
        <v>159</v>
      </c>
    </row>
    <row r="93" spans="1:6" x14ac:dyDescent="0.3">
      <c r="A93" s="2" t="s">
        <v>114</v>
      </c>
      <c r="B93" s="2" t="s">
        <v>260</v>
      </c>
      <c r="C93" s="2" t="s">
        <v>261</v>
      </c>
      <c r="D93" s="2" t="s">
        <v>175</v>
      </c>
      <c r="E93" s="2" t="s">
        <v>172</v>
      </c>
      <c r="F93" s="2" t="s">
        <v>159</v>
      </c>
    </row>
    <row r="94" spans="1:6" x14ac:dyDescent="0.3">
      <c r="A94" s="2" t="s">
        <v>114</v>
      </c>
      <c r="B94" s="2" t="s">
        <v>262</v>
      </c>
      <c r="C94" s="2" t="s">
        <v>263</v>
      </c>
      <c r="D94" s="2" t="s">
        <v>25</v>
      </c>
      <c r="E94" s="8" t="s">
        <v>80</v>
      </c>
      <c r="F94" s="2" t="s">
        <v>159</v>
      </c>
    </row>
    <row r="95" spans="1:6" x14ac:dyDescent="0.3">
      <c r="A95" s="2" t="s">
        <v>114</v>
      </c>
      <c r="B95" s="2" t="s">
        <v>264</v>
      </c>
      <c r="C95" s="2" t="s">
        <v>75</v>
      </c>
      <c r="D95" s="2" t="s">
        <v>190</v>
      </c>
      <c r="E95" s="6" t="s">
        <v>54</v>
      </c>
      <c r="F95" s="2" t="s">
        <v>159</v>
      </c>
    </row>
    <row r="96" spans="1:6" ht="26.4" x14ac:dyDescent="0.3">
      <c r="A96" s="2" t="s">
        <v>114</v>
      </c>
      <c r="B96" s="2" t="s">
        <v>265</v>
      </c>
      <c r="C96" s="2" t="s">
        <v>266</v>
      </c>
      <c r="D96" s="2" t="s">
        <v>47</v>
      </c>
      <c r="E96" s="8" t="s">
        <v>80</v>
      </c>
      <c r="F96" s="2" t="s">
        <v>159</v>
      </c>
    </row>
    <row r="97" spans="1:6" x14ac:dyDescent="0.3">
      <c r="A97" s="2" t="s">
        <v>114</v>
      </c>
      <c r="B97" s="2" t="s">
        <v>267</v>
      </c>
      <c r="C97" s="2" t="s">
        <v>268</v>
      </c>
      <c r="D97" s="2" t="s">
        <v>47</v>
      </c>
      <c r="E97" s="8" t="s">
        <v>80</v>
      </c>
      <c r="F97" s="2" t="s">
        <v>159</v>
      </c>
    </row>
    <row r="98" spans="1:6" ht="26.4" x14ac:dyDescent="0.3">
      <c r="A98" s="2" t="s">
        <v>114</v>
      </c>
      <c r="B98" s="2" t="s">
        <v>269</v>
      </c>
      <c r="C98" s="2" t="s">
        <v>270</v>
      </c>
      <c r="D98" s="2" t="s">
        <v>47</v>
      </c>
      <c r="E98" s="8" t="s">
        <v>80</v>
      </c>
      <c r="F98" s="2" t="s">
        <v>159</v>
      </c>
    </row>
    <row r="99" spans="1:6" ht="26.4" x14ac:dyDescent="0.3">
      <c r="A99" s="2" t="s">
        <v>114</v>
      </c>
      <c r="B99" s="2" t="s">
        <v>271</v>
      </c>
      <c r="C99" s="2" t="s">
        <v>272</v>
      </c>
      <c r="D99" s="2" t="s">
        <v>47</v>
      </c>
      <c r="E99" s="8" t="s">
        <v>80</v>
      </c>
      <c r="F99" s="2" t="s">
        <v>159</v>
      </c>
    </row>
    <row r="100" spans="1:6" ht="26.4" x14ac:dyDescent="0.3">
      <c r="A100" s="2" t="s">
        <v>114</v>
      </c>
      <c r="B100" s="2" t="s">
        <v>273</v>
      </c>
      <c r="C100" s="2" t="s">
        <v>274</v>
      </c>
      <c r="D100" s="2" t="s">
        <v>47</v>
      </c>
      <c r="E100" s="8" t="s">
        <v>80</v>
      </c>
      <c r="F100" s="2" t="s">
        <v>159</v>
      </c>
    </row>
    <row r="101" spans="1:6" ht="26.4" x14ac:dyDescent="0.3">
      <c r="A101" s="2" t="s">
        <v>114</v>
      </c>
      <c r="B101" s="2" t="s">
        <v>275</v>
      </c>
      <c r="C101" s="2" t="s">
        <v>276</v>
      </c>
      <c r="D101" s="2" t="s">
        <v>25</v>
      </c>
      <c r="E101" s="8" t="s">
        <v>80</v>
      </c>
      <c r="F101" s="2" t="s">
        <v>159</v>
      </c>
    </row>
    <row r="102" spans="1:6" ht="26.4" x14ac:dyDescent="0.3">
      <c r="A102" s="2" t="s">
        <v>114</v>
      </c>
      <c r="B102" s="2" t="s">
        <v>277</v>
      </c>
      <c r="C102" s="2" t="s">
        <v>278</v>
      </c>
      <c r="D102" s="2" t="s">
        <v>142</v>
      </c>
      <c r="E102" s="2" t="s">
        <v>172</v>
      </c>
      <c r="F102" s="2" t="s">
        <v>159</v>
      </c>
    </row>
    <row r="103" spans="1:6" x14ac:dyDescent="0.3">
      <c r="A103" s="2" t="s">
        <v>114</v>
      </c>
      <c r="B103" s="2" t="s">
        <v>279</v>
      </c>
      <c r="C103" s="2" t="s">
        <v>280</v>
      </c>
      <c r="D103" s="2" t="s">
        <v>175</v>
      </c>
      <c r="E103" s="2" t="s">
        <v>172</v>
      </c>
      <c r="F103" s="2" t="s">
        <v>159</v>
      </c>
    </row>
    <row r="104" spans="1:6" x14ac:dyDescent="0.3">
      <c r="A104" s="2" t="s">
        <v>114</v>
      </c>
      <c r="B104" s="2" t="s">
        <v>281</v>
      </c>
      <c r="C104" s="2" t="s">
        <v>282</v>
      </c>
      <c r="D104" s="2" t="s">
        <v>175</v>
      </c>
      <c r="E104" s="2" t="s">
        <v>172</v>
      </c>
      <c r="F104" s="2" t="s">
        <v>159</v>
      </c>
    </row>
    <row r="105" spans="1:6" x14ac:dyDescent="0.3">
      <c r="A105" s="2" t="s">
        <v>114</v>
      </c>
      <c r="B105" s="2" t="s">
        <v>283</v>
      </c>
      <c r="C105" s="2" t="s">
        <v>284</v>
      </c>
      <c r="D105" s="2" t="s">
        <v>175</v>
      </c>
      <c r="E105" s="2" t="s">
        <v>172</v>
      </c>
      <c r="F105" s="2" t="s">
        <v>159</v>
      </c>
    </row>
    <row r="106" spans="1:6" x14ac:dyDescent="0.3">
      <c r="A106" s="2" t="s">
        <v>114</v>
      </c>
      <c r="B106" s="2" t="s">
        <v>285</v>
      </c>
      <c r="C106" s="2" t="s">
        <v>286</v>
      </c>
      <c r="D106" s="2" t="s">
        <v>175</v>
      </c>
      <c r="E106" s="2" t="s">
        <v>172</v>
      </c>
      <c r="F106" s="2" t="s">
        <v>159</v>
      </c>
    </row>
    <row r="107" spans="1:6" x14ac:dyDescent="0.3">
      <c r="A107" s="2" t="s">
        <v>114</v>
      </c>
      <c r="B107" s="2" t="s">
        <v>287</v>
      </c>
      <c r="C107" s="2" t="s">
        <v>288</v>
      </c>
      <c r="D107" s="2" t="s">
        <v>131</v>
      </c>
      <c r="E107" s="2" t="s">
        <v>172</v>
      </c>
      <c r="F107" s="2" t="s">
        <v>159</v>
      </c>
    </row>
    <row r="108" spans="1:6" x14ac:dyDescent="0.3">
      <c r="A108" s="2" t="s">
        <v>114</v>
      </c>
      <c r="B108" s="2" t="s">
        <v>289</v>
      </c>
      <c r="C108" s="2" t="s">
        <v>290</v>
      </c>
      <c r="D108" s="2" t="s">
        <v>25</v>
      </c>
      <c r="E108" s="8" t="s">
        <v>80</v>
      </c>
      <c r="F108" s="2" t="s">
        <v>159</v>
      </c>
    </row>
    <row r="109" spans="1:6" x14ac:dyDescent="0.3">
      <c r="A109" s="2" t="s">
        <v>114</v>
      </c>
      <c r="B109" s="2" t="s">
        <v>291</v>
      </c>
      <c r="C109" s="2" t="s">
        <v>292</v>
      </c>
      <c r="D109" s="2" t="s">
        <v>175</v>
      </c>
      <c r="E109" s="2" t="s">
        <v>172</v>
      </c>
      <c r="F109" s="2" t="s">
        <v>159</v>
      </c>
    </row>
    <row r="110" spans="1:6" x14ac:dyDescent="0.3">
      <c r="A110" s="2" t="s">
        <v>114</v>
      </c>
      <c r="B110" s="2" t="s">
        <v>293</v>
      </c>
      <c r="C110" s="2" t="s">
        <v>294</v>
      </c>
      <c r="D110" s="2" t="s">
        <v>190</v>
      </c>
      <c r="E110" s="2" t="s">
        <v>172</v>
      </c>
      <c r="F110" s="2" t="s">
        <v>159</v>
      </c>
    </row>
    <row r="111" spans="1:6" ht="26.4" x14ac:dyDescent="0.3">
      <c r="A111" s="2" t="s">
        <v>114</v>
      </c>
      <c r="B111" s="2" t="s">
        <v>295</v>
      </c>
      <c r="C111" s="2" t="s">
        <v>57</v>
      </c>
      <c r="D111" s="2" t="s">
        <v>142</v>
      </c>
      <c r="E111" s="7" t="s">
        <v>58</v>
      </c>
      <c r="F111" s="2" t="s">
        <v>296</v>
      </c>
    </row>
    <row r="112" spans="1:6" ht="26.4" x14ac:dyDescent="0.3">
      <c r="A112" s="2" t="s">
        <v>114</v>
      </c>
      <c r="B112" s="2" t="s">
        <v>297</v>
      </c>
      <c r="C112" s="2" t="s">
        <v>298</v>
      </c>
      <c r="D112" s="2" t="s">
        <v>142</v>
      </c>
      <c r="E112" s="6" t="s">
        <v>299</v>
      </c>
      <c r="F112" s="2" t="s">
        <v>300</v>
      </c>
    </row>
    <row r="113" spans="1:6" ht="26.4" x14ac:dyDescent="0.3">
      <c r="A113" s="2" t="s">
        <v>114</v>
      </c>
      <c r="B113" s="2" t="s">
        <v>301</v>
      </c>
      <c r="C113" s="2" t="s">
        <v>53</v>
      </c>
      <c r="D113" s="2" t="s">
        <v>142</v>
      </c>
      <c r="E113" s="6" t="s">
        <v>54</v>
      </c>
      <c r="F113" s="2" t="s">
        <v>199</v>
      </c>
    </row>
    <row r="114" spans="1:6" ht="26.4" x14ac:dyDescent="0.3">
      <c r="A114" s="2" t="s">
        <v>114</v>
      </c>
      <c r="B114" s="2" t="s">
        <v>302</v>
      </c>
      <c r="C114" s="2" t="s">
        <v>303</v>
      </c>
      <c r="D114" s="2" t="s">
        <v>142</v>
      </c>
      <c r="E114" s="2" t="s">
        <v>172</v>
      </c>
      <c r="F114" s="2" t="s">
        <v>300</v>
      </c>
    </row>
    <row r="115" spans="1:6" ht="26.4" x14ac:dyDescent="0.3">
      <c r="A115" s="2" t="s">
        <v>114</v>
      </c>
      <c r="B115" s="2" t="s">
        <v>304</v>
      </c>
      <c r="C115" s="2" t="s">
        <v>305</v>
      </c>
      <c r="D115" s="2" t="s">
        <v>142</v>
      </c>
      <c r="E115" s="2" t="s">
        <v>172</v>
      </c>
      <c r="F115" s="2" t="s">
        <v>300</v>
      </c>
    </row>
    <row r="116" spans="1:6" ht="26.4" x14ac:dyDescent="0.3">
      <c r="A116" s="2" t="s">
        <v>114</v>
      </c>
      <c r="B116" s="2" t="s">
        <v>306</v>
      </c>
      <c r="C116" s="2" t="s">
        <v>307</v>
      </c>
      <c r="D116" s="2" t="s">
        <v>142</v>
      </c>
      <c r="E116" s="2" t="s">
        <v>172</v>
      </c>
      <c r="F116" s="2" t="s">
        <v>300</v>
      </c>
    </row>
    <row r="117" spans="1:6" ht="26.4" x14ac:dyDescent="0.3">
      <c r="A117" s="2" t="s">
        <v>114</v>
      </c>
      <c r="B117" s="2" t="s">
        <v>308</v>
      </c>
      <c r="C117" s="2" t="s">
        <v>309</v>
      </c>
      <c r="D117" s="2" t="s">
        <v>142</v>
      </c>
      <c r="E117" s="2" t="s">
        <v>172</v>
      </c>
      <c r="F117" s="2" t="s">
        <v>300</v>
      </c>
    </row>
    <row r="118" spans="1:6" ht="26.4" x14ac:dyDescent="0.3">
      <c r="A118" s="2" t="s">
        <v>114</v>
      </c>
      <c r="B118" s="2" t="s">
        <v>310</v>
      </c>
      <c r="C118" s="2" t="s">
        <v>311</v>
      </c>
      <c r="D118" s="2" t="s">
        <v>142</v>
      </c>
      <c r="E118" s="2" t="s">
        <v>172</v>
      </c>
      <c r="F118" s="2" t="s">
        <v>300</v>
      </c>
    </row>
    <row r="119" spans="1:6" ht="26.4" x14ac:dyDescent="0.3">
      <c r="A119" s="2" t="s">
        <v>114</v>
      </c>
      <c r="B119" s="2" t="s">
        <v>312</v>
      </c>
      <c r="C119" s="2" t="s">
        <v>313</v>
      </c>
      <c r="D119" s="2" t="s">
        <v>142</v>
      </c>
      <c r="E119" s="2" t="s">
        <v>172</v>
      </c>
      <c r="F119" s="2" t="s">
        <v>300</v>
      </c>
    </row>
    <row r="120" spans="1:6" ht="26.4" x14ac:dyDescent="0.3">
      <c r="A120" s="2" t="s">
        <v>114</v>
      </c>
      <c r="B120" s="2" t="s">
        <v>314</v>
      </c>
      <c r="C120" s="2" t="s">
        <v>315</v>
      </c>
      <c r="D120" s="2" t="s">
        <v>142</v>
      </c>
      <c r="E120" s="2" t="s">
        <v>172</v>
      </c>
      <c r="F120" s="2" t="s">
        <v>300</v>
      </c>
    </row>
    <row r="121" spans="1:6" ht="26.4" x14ac:dyDescent="0.3">
      <c r="A121" s="2" t="s">
        <v>114</v>
      </c>
      <c r="B121" s="2" t="s">
        <v>316</v>
      </c>
      <c r="C121" s="2" t="s">
        <v>317</v>
      </c>
      <c r="D121" s="2" t="s">
        <v>142</v>
      </c>
      <c r="E121" s="2" t="s">
        <v>172</v>
      </c>
      <c r="F121" s="2" t="s">
        <v>300</v>
      </c>
    </row>
    <row r="122" spans="1:6" ht="26.4" x14ac:dyDescent="0.3">
      <c r="A122" s="2" t="s">
        <v>114</v>
      </c>
      <c r="B122" s="2" t="s">
        <v>318</v>
      </c>
      <c r="C122" s="2" t="s">
        <v>319</v>
      </c>
      <c r="D122" s="2" t="s">
        <v>142</v>
      </c>
      <c r="E122" s="2" t="s">
        <v>172</v>
      </c>
      <c r="F122" s="2" t="s">
        <v>300</v>
      </c>
    </row>
    <row r="123" spans="1:6" ht="26.4" x14ac:dyDescent="0.3">
      <c r="A123" s="2" t="s">
        <v>114</v>
      </c>
      <c r="B123" s="2" t="s">
        <v>320</v>
      </c>
      <c r="C123" s="2" t="s">
        <v>321</v>
      </c>
      <c r="D123" s="2" t="s">
        <v>142</v>
      </c>
      <c r="E123" s="2" t="s">
        <v>172</v>
      </c>
      <c r="F123" s="2" t="s">
        <v>300</v>
      </c>
    </row>
    <row r="124" spans="1:6" ht="26.4" x14ac:dyDescent="0.3">
      <c r="A124" s="2" t="s">
        <v>114</v>
      </c>
      <c r="B124" s="2" t="s">
        <v>322</v>
      </c>
      <c r="C124" s="2" t="s">
        <v>323</v>
      </c>
      <c r="D124" s="2" t="s">
        <v>142</v>
      </c>
      <c r="E124" s="2" t="s">
        <v>172</v>
      </c>
      <c r="F124" s="2" t="s">
        <v>300</v>
      </c>
    </row>
    <row r="125" spans="1:6" ht="26.4" x14ac:dyDescent="0.3">
      <c r="A125" s="2" t="s">
        <v>114</v>
      </c>
      <c r="B125" s="2" t="s">
        <v>324</v>
      </c>
      <c r="C125" s="2" t="s">
        <v>325</v>
      </c>
      <c r="D125" s="2" t="s">
        <v>142</v>
      </c>
      <c r="E125" s="2" t="s">
        <v>172</v>
      </c>
      <c r="F125" s="2" t="s">
        <v>300</v>
      </c>
    </row>
    <row r="126" spans="1:6" ht="26.4" x14ac:dyDescent="0.3">
      <c r="A126" s="2" t="s">
        <v>114</v>
      </c>
      <c r="B126" s="2" t="s">
        <v>326</v>
      </c>
      <c r="C126" s="2" t="s">
        <v>327</v>
      </c>
      <c r="D126" s="2" t="s">
        <v>142</v>
      </c>
      <c r="E126" s="2" t="s">
        <v>172</v>
      </c>
      <c r="F126" s="2" t="s">
        <v>300</v>
      </c>
    </row>
    <row r="127" spans="1:6" ht="26.4" x14ac:dyDescent="0.3">
      <c r="A127" s="2" t="s">
        <v>114</v>
      </c>
      <c r="B127" s="2" t="s">
        <v>328</v>
      </c>
      <c r="C127" s="2" t="s">
        <v>329</v>
      </c>
      <c r="D127" s="2" t="s">
        <v>142</v>
      </c>
      <c r="E127" s="2" t="s">
        <v>172</v>
      </c>
      <c r="F127" s="2" t="s">
        <v>300</v>
      </c>
    </row>
    <row r="128" spans="1:6" ht="26.4" x14ac:dyDescent="0.3">
      <c r="A128" s="2" t="s">
        <v>114</v>
      </c>
      <c r="B128" s="2" t="s">
        <v>330</v>
      </c>
      <c r="C128" s="2" t="s">
        <v>331</v>
      </c>
      <c r="D128" s="2" t="s">
        <v>142</v>
      </c>
      <c r="E128" s="2" t="s">
        <v>172</v>
      </c>
      <c r="F128" s="2" t="s">
        <v>300</v>
      </c>
    </row>
    <row r="129" spans="1:6" ht="26.4" x14ac:dyDescent="0.3">
      <c r="A129" s="2" t="s">
        <v>114</v>
      </c>
      <c r="B129" s="2" t="s">
        <v>332</v>
      </c>
      <c r="C129" s="2" t="s">
        <v>333</v>
      </c>
      <c r="D129" s="2" t="s">
        <v>142</v>
      </c>
      <c r="E129" s="2" t="s">
        <v>172</v>
      </c>
      <c r="F129" s="2" t="s">
        <v>300</v>
      </c>
    </row>
    <row r="130" spans="1:6" ht="26.4" x14ac:dyDescent="0.3">
      <c r="A130" s="2" t="s">
        <v>114</v>
      </c>
      <c r="B130" s="2" t="s">
        <v>334</v>
      </c>
      <c r="C130" s="2" t="s">
        <v>335</v>
      </c>
      <c r="D130" s="2" t="s">
        <v>190</v>
      </c>
      <c r="E130" s="2" t="s">
        <v>172</v>
      </c>
      <c r="F130" s="2" t="s">
        <v>336</v>
      </c>
    </row>
    <row r="131" spans="1:6" ht="26.4" x14ac:dyDescent="0.3">
      <c r="A131" s="2" t="s">
        <v>114</v>
      </c>
      <c r="B131" s="2" t="s">
        <v>337</v>
      </c>
      <c r="C131" s="2" t="s">
        <v>338</v>
      </c>
      <c r="D131" s="2" t="s">
        <v>190</v>
      </c>
      <c r="E131" s="6" t="s">
        <v>54</v>
      </c>
      <c r="F131" s="2" t="s">
        <v>336</v>
      </c>
    </row>
    <row r="132" spans="1:6" ht="26.4" x14ac:dyDescent="0.3">
      <c r="A132" s="2" t="s">
        <v>114</v>
      </c>
      <c r="B132" s="2" t="s">
        <v>339</v>
      </c>
      <c r="C132" s="2" t="s">
        <v>340</v>
      </c>
      <c r="D132" s="2" t="s">
        <v>190</v>
      </c>
      <c r="E132" s="2" t="s">
        <v>172</v>
      </c>
      <c r="F132" s="2" t="s">
        <v>336</v>
      </c>
    </row>
    <row r="133" spans="1:6" ht="26.4" x14ac:dyDescent="0.3">
      <c r="A133" s="2" t="s">
        <v>114</v>
      </c>
      <c r="B133" s="2" t="s">
        <v>341</v>
      </c>
      <c r="C133" s="2" t="s">
        <v>342</v>
      </c>
      <c r="D133" s="2" t="s">
        <v>190</v>
      </c>
      <c r="E133" s="2" t="s">
        <v>172</v>
      </c>
      <c r="F133" s="2" t="s">
        <v>336</v>
      </c>
    </row>
    <row r="134" spans="1:6" ht="26.4" x14ac:dyDescent="0.3">
      <c r="A134" s="2" t="s">
        <v>114</v>
      </c>
      <c r="B134" s="2" t="s">
        <v>343</v>
      </c>
      <c r="C134" s="2" t="s">
        <v>344</v>
      </c>
      <c r="D134" s="2" t="s">
        <v>190</v>
      </c>
      <c r="E134" s="2" t="s">
        <v>172</v>
      </c>
      <c r="F134" s="2" t="s">
        <v>336</v>
      </c>
    </row>
    <row r="135" spans="1:6" ht="26.4" x14ac:dyDescent="0.3">
      <c r="A135" s="2" t="s">
        <v>114</v>
      </c>
      <c r="B135" s="2" t="s">
        <v>345</v>
      </c>
      <c r="C135" s="2" t="s">
        <v>346</v>
      </c>
      <c r="D135" s="2" t="s">
        <v>190</v>
      </c>
      <c r="E135" s="2" t="s">
        <v>172</v>
      </c>
      <c r="F135" s="2" t="s">
        <v>336</v>
      </c>
    </row>
    <row r="136" spans="1:6" ht="26.4" x14ac:dyDescent="0.3">
      <c r="A136" s="2" t="s">
        <v>114</v>
      </c>
      <c r="B136" s="2" t="s">
        <v>347</v>
      </c>
      <c r="C136" s="2" t="s">
        <v>348</v>
      </c>
      <c r="D136" s="2" t="s">
        <v>190</v>
      </c>
      <c r="E136" s="6" t="s">
        <v>54</v>
      </c>
      <c r="F136" s="2" t="s">
        <v>336</v>
      </c>
    </row>
    <row r="137" spans="1:6" ht="26.4" x14ac:dyDescent="0.3">
      <c r="A137" s="2" t="s">
        <v>114</v>
      </c>
      <c r="B137" s="2" t="s">
        <v>349</v>
      </c>
      <c r="C137" s="2" t="s">
        <v>72</v>
      </c>
      <c r="D137" s="2" t="s">
        <v>190</v>
      </c>
      <c r="E137" s="6" t="s">
        <v>54</v>
      </c>
      <c r="F137" s="2" t="s">
        <v>336</v>
      </c>
    </row>
    <row r="138" spans="1:6" ht="26.4" x14ac:dyDescent="0.3">
      <c r="A138" s="2" t="s">
        <v>114</v>
      </c>
      <c r="B138" s="2" t="s">
        <v>350</v>
      </c>
      <c r="C138" s="2" t="s">
        <v>351</v>
      </c>
      <c r="D138" s="2" t="s">
        <v>190</v>
      </c>
      <c r="E138" s="2" t="s">
        <v>172</v>
      </c>
      <c r="F138" s="2" t="s">
        <v>336</v>
      </c>
    </row>
    <row r="139" spans="1:6" ht="26.4" x14ac:dyDescent="0.3">
      <c r="A139" s="2" t="s">
        <v>114</v>
      </c>
      <c r="B139" s="2" t="s">
        <v>352</v>
      </c>
      <c r="C139" s="2" t="s">
        <v>353</v>
      </c>
      <c r="D139" s="2" t="s">
        <v>190</v>
      </c>
      <c r="E139" s="2" t="s">
        <v>172</v>
      </c>
      <c r="F139" s="2" t="s">
        <v>336</v>
      </c>
    </row>
    <row r="140" spans="1:6" ht="26.4" x14ac:dyDescent="0.3">
      <c r="A140" s="2" t="s">
        <v>114</v>
      </c>
      <c r="B140" s="2" t="s">
        <v>354</v>
      </c>
      <c r="C140" s="2" t="s">
        <v>355</v>
      </c>
      <c r="D140" s="2" t="s">
        <v>190</v>
      </c>
      <c r="E140" s="6" t="s">
        <v>54</v>
      </c>
      <c r="F140" s="2" t="s">
        <v>336</v>
      </c>
    </row>
    <row r="141" spans="1:6" ht="26.4" x14ac:dyDescent="0.3">
      <c r="A141" s="2" t="s">
        <v>114</v>
      </c>
      <c r="B141" s="2" t="s">
        <v>356</v>
      </c>
      <c r="C141" s="2" t="s">
        <v>69</v>
      </c>
      <c r="D141" s="2" t="s">
        <v>190</v>
      </c>
      <c r="E141" s="6" t="s">
        <v>54</v>
      </c>
      <c r="F141" s="2" t="s">
        <v>336</v>
      </c>
    </row>
    <row r="142" spans="1:6" ht="26.4" x14ac:dyDescent="0.3">
      <c r="A142" s="2" t="s">
        <v>114</v>
      </c>
      <c r="B142" s="2" t="s">
        <v>357</v>
      </c>
      <c r="C142" s="2" t="s">
        <v>358</v>
      </c>
      <c r="D142" s="2" t="s">
        <v>190</v>
      </c>
      <c r="E142" s="2" t="s">
        <v>172</v>
      </c>
      <c r="F142" s="2" t="s">
        <v>336</v>
      </c>
    </row>
    <row r="143" spans="1:6" ht="26.4" x14ac:dyDescent="0.3">
      <c r="A143" s="2" t="s">
        <v>114</v>
      </c>
      <c r="B143" s="2" t="s">
        <v>359</v>
      </c>
      <c r="C143" s="2" t="s">
        <v>360</v>
      </c>
      <c r="D143" s="2" t="s">
        <v>190</v>
      </c>
      <c r="E143" s="2" t="s">
        <v>172</v>
      </c>
      <c r="F143" s="2" t="s">
        <v>336</v>
      </c>
    </row>
    <row r="144" spans="1:6" ht="26.4" x14ac:dyDescent="0.3">
      <c r="A144" s="2" t="s">
        <v>114</v>
      </c>
      <c r="B144" s="2" t="s">
        <v>361</v>
      </c>
      <c r="C144" s="2" t="s">
        <v>362</v>
      </c>
      <c r="D144" s="2" t="s">
        <v>190</v>
      </c>
      <c r="E144" s="2" t="s">
        <v>172</v>
      </c>
      <c r="F144" s="2" t="s">
        <v>336</v>
      </c>
    </row>
    <row r="145" spans="1:6" ht="26.4" x14ac:dyDescent="0.3">
      <c r="A145" s="2" t="s">
        <v>114</v>
      </c>
      <c r="B145" s="2" t="s">
        <v>363</v>
      </c>
      <c r="C145" s="2" t="s">
        <v>364</v>
      </c>
      <c r="D145" s="2" t="s">
        <v>190</v>
      </c>
      <c r="E145" s="2" t="s">
        <v>172</v>
      </c>
      <c r="F145" s="2" t="s">
        <v>336</v>
      </c>
    </row>
    <row r="146" spans="1:6" x14ac:dyDescent="0.3">
      <c r="A146" s="2" t="s">
        <v>114</v>
      </c>
      <c r="B146" s="2" t="s">
        <v>365</v>
      </c>
      <c r="C146" s="2" t="s">
        <v>366</v>
      </c>
      <c r="D146" s="2" t="s">
        <v>367</v>
      </c>
      <c r="E146" s="7" t="s">
        <v>58</v>
      </c>
      <c r="F146" s="2" t="s">
        <v>368</v>
      </c>
    </row>
  </sheetData>
  <autoFilter ref="A1:F14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9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20" customWidth="1"/>
    <col min="4" max="26" width="12" customWidth="1"/>
  </cols>
  <sheetData>
    <row r="1" spans="1:26" ht="58.05" customHeight="1" x14ac:dyDescent="0.3">
      <c r="A1" s="3" t="s">
        <v>23</v>
      </c>
      <c r="B1" s="3" t="s">
        <v>28</v>
      </c>
      <c r="C1" s="3" t="s">
        <v>31</v>
      </c>
      <c r="D1" s="9" t="s">
        <v>34</v>
      </c>
      <c r="E1" s="9" t="s">
        <v>39</v>
      </c>
      <c r="F1" s="9" t="s">
        <v>43</v>
      </c>
      <c r="G1" s="9" t="s">
        <v>45</v>
      </c>
      <c r="H1" s="9" t="s">
        <v>49</v>
      </c>
      <c r="I1" s="10" t="s">
        <v>52</v>
      </c>
      <c r="J1" s="11" t="s">
        <v>56</v>
      </c>
      <c r="K1" s="11" t="s">
        <v>60</v>
      </c>
      <c r="L1" s="11" t="s">
        <v>64</v>
      </c>
      <c r="M1" s="10" t="s">
        <v>68</v>
      </c>
      <c r="N1" s="10" t="s">
        <v>71</v>
      </c>
      <c r="O1" s="10" t="s">
        <v>74</v>
      </c>
      <c r="P1" s="12" t="s">
        <v>77</v>
      </c>
      <c r="Q1" s="12" t="s">
        <v>82</v>
      </c>
      <c r="R1" s="11" t="s">
        <v>85</v>
      </c>
      <c r="S1" s="11" t="s">
        <v>89</v>
      </c>
      <c r="T1" s="11" t="s">
        <v>92</v>
      </c>
      <c r="U1" s="11" t="s">
        <v>95</v>
      </c>
      <c r="V1" s="12" t="s">
        <v>99</v>
      </c>
      <c r="W1" s="12" t="s">
        <v>102</v>
      </c>
      <c r="X1" s="12" t="s">
        <v>105</v>
      </c>
      <c r="Y1" s="12" t="s">
        <v>108</v>
      </c>
      <c r="Z1" s="12" t="s">
        <v>111</v>
      </c>
    </row>
    <row r="2" spans="1:26" x14ac:dyDescent="0.3">
      <c r="A2" s="13" t="s">
        <v>369</v>
      </c>
      <c r="B2" s="13" t="s">
        <v>370</v>
      </c>
      <c r="C2" s="13" t="s">
        <v>371</v>
      </c>
      <c r="D2" s="14">
        <v>130.483</v>
      </c>
      <c r="E2" s="15">
        <v>144.0005115622543</v>
      </c>
      <c r="F2" s="16">
        <v>2.0267400000000002</v>
      </c>
      <c r="G2" s="15">
        <v>63.333599999999997</v>
      </c>
      <c r="H2" s="17">
        <v>2.9246599999999998</v>
      </c>
      <c r="I2" s="14">
        <v>76.117980382580413</v>
      </c>
      <c r="J2" s="14">
        <v>71.755179096968618</v>
      </c>
      <c r="K2" s="17">
        <v>24.561870641136899</v>
      </c>
      <c r="L2" s="14">
        <v>11.45473281083618</v>
      </c>
      <c r="M2" s="17">
        <v>12.0524002863418</v>
      </c>
      <c r="N2" s="17">
        <v>6.50437326906113</v>
      </c>
      <c r="O2" s="17">
        <v>5.2277115779616814</v>
      </c>
      <c r="P2" s="14">
        <v>73.151285132929019</v>
      </c>
      <c r="Q2" s="14">
        <v>48.478324306875493</v>
      </c>
      <c r="R2" s="17">
        <v>6.0511941380585146</v>
      </c>
      <c r="S2" s="17">
        <v>13.06054563879194</v>
      </c>
      <c r="T2" s="14">
        <v>53.155527006898247</v>
      </c>
      <c r="U2" s="14">
        <v>10.56204937779188</v>
      </c>
      <c r="V2" s="14">
        <v>88.188593542061426</v>
      </c>
      <c r="W2" s="17">
        <v>0.6959649366710785</v>
      </c>
      <c r="X2" s="17">
        <v>1.2258702299381421</v>
      </c>
      <c r="Y2" s="14">
        <v>44.482344839510297</v>
      </c>
      <c r="Z2" s="14">
        <v>87.498547238590021</v>
      </c>
    </row>
    <row r="3" spans="1:26" x14ac:dyDescent="0.3">
      <c r="A3" s="13" t="s">
        <v>372</v>
      </c>
      <c r="B3" s="13" t="s">
        <v>370</v>
      </c>
      <c r="C3" s="13" t="s">
        <v>371</v>
      </c>
      <c r="D3" s="14">
        <v>131.08699999999999</v>
      </c>
      <c r="E3" s="15">
        <v>179.03968396820741</v>
      </c>
      <c r="F3" s="16">
        <v>2.5198999999999998</v>
      </c>
      <c r="G3" s="15">
        <v>80</v>
      </c>
      <c r="H3" s="17">
        <v>2.67</v>
      </c>
      <c r="I3" s="14">
        <v>67.253501264670547</v>
      </c>
      <c r="J3" s="14">
        <v>63.43979427199605</v>
      </c>
      <c r="K3" s="17">
        <v>28.721920492688501</v>
      </c>
      <c r="L3" s="14">
        <v>19.185263349718699</v>
      </c>
      <c r="M3" s="17">
        <v>22.117117429695181</v>
      </c>
      <c r="N3" s="17">
        <v>11.36534631477406</v>
      </c>
      <c r="O3" s="17">
        <v>8.5569500932370079</v>
      </c>
      <c r="P3" s="14">
        <v>93.143354823698004</v>
      </c>
      <c r="Q3" s="14">
        <v>85.921860531140368</v>
      </c>
      <c r="R3" s="17">
        <v>4.9766448275321773</v>
      </c>
      <c r="S3" s="17">
        <v>10.19091475392778</v>
      </c>
      <c r="T3" s="14">
        <v>60.895699521999838</v>
      </c>
      <c r="U3" s="14">
        <v>9.4354735819501165</v>
      </c>
      <c r="V3" s="14">
        <v>79.384418194669792</v>
      </c>
      <c r="W3" s="17">
        <v>0.42914945638234941</v>
      </c>
      <c r="X3" s="17">
        <v>0.95990866710262679</v>
      </c>
      <c r="Y3" s="14">
        <v>57.950995707272313</v>
      </c>
      <c r="Z3" s="14">
        <v>81.376635563893018</v>
      </c>
    </row>
    <row r="4" spans="1:26" x14ac:dyDescent="0.3">
      <c r="A4" s="13" t="s">
        <v>373</v>
      </c>
      <c r="B4" s="13" t="s">
        <v>370</v>
      </c>
      <c r="C4" s="13" t="s">
        <v>371</v>
      </c>
      <c r="D4" s="14">
        <v>131.512</v>
      </c>
      <c r="E4" s="15">
        <v>207.68645970499909</v>
      </c>
      <c r="F4" s="16">
        <v>2.9230900000000002</v>
      </c>
      <c r="G4" s="15">
        <v>80</v>
      </c>
      <c r="H4" s="17">
        <v>2.67</v>
      </c>
      <c r="I4" s="14">
        <v>60.162529229183917</v>
      </c>
      <c r="J4" s="14">
        <v>56.807371674976309</v>
      </c>
      <c r="K4" s="17">
        <v>32.1013959398325</v>
      </c>
      <c r="L4" s="14">
        <v>28.998325796451208</v>
      </c>
      <c r="M4" s="17">
        <v>24.80392811920342</v>
      </c>
      <c r="N4" s="17">
        <v>13.702489495509219</v>
      </c>
      <c r="O4" s="17">
        <v>10.5347120059132</v>
      </c>
      <c r="P4" s="14">
        <v>95.037182776555298</v>
      </c>
      <c r="Q4" s="14">
        <v>92.423465375126241</v>
      </c>
      <c r="R4" s="17">
        <v>4.3536808140321224</v>
      </c>
      <c r="S4" s="17">
        <v>8.6281267490543794</v>
      </c>
      <c r="T4" s="14">
        <v>66.992456708716276</v>
      </c>
      <c r="U4" s="14">
        <v>8.4575095972806338</v>
      </c>
      <c r="V4" s="14">
        <v>73.682412644980289</v>
      </c>
      <c r="W4" s="17">
        <v>0.28609217783696073</v>
      </c>
      <c r="X4" s="17">
        <v>0.73575248687814954</v>
      </c>
      <c r="Y4" s="14">
        <v>57.982859179722048</v>
      </c>
      <c r="Z4" s="14">
        <v>82.113705512754251</v>
      </c>
    </row>
    <row r="5" spans="1:26" x14ac:dyDescent="0.3">
      <c r="A5" s="13" t="s">
        <v>374</v>
      </c>
      <c r="B5" s="13" t="s">
        <v>370</v>
      </c>
      <c r="C5" s="13" t="s">
        <v>371</v>
      </c>
      <c r="D5" s="14">
        <v>132.11199999999999</v>
      </c>
      <c r="E5" s="15">
        <v>168.17822260536761</v>
      </c>
      <c r="F5" s="16">
        <v>2.3670300000000002</v>
      </c>
      <c r="G5" s="15">
        <v>77.725300000000004</v>
      </c>
      <c r="H5" s="17">
        <v>2.7047599999999998</v>
      </c>
      <c r="I5" s="14">
        <v>71.026741949229404</v>
      </c>
      <c r="J5" s="14">
        <v>66.933596697838937</v>
      </c>
      <c r="K5" s="17">
        <v>27.4513794175184</v>
      </c>
      <c r="L5" s="14">
        <v>15.71608487074784</v>
      </c>
      <c r="M5" s="17">
        <v>19.7800683115534</v>
      </c>
      <c r="N5" s="17">
        <v>9.9395835688940153</v>
      </c>
      <c r="O5" s="17">
        <v>7.5296882908999736</v>
      </c>
      <c r="P5" s="14">
        <v>90.706348970279677</v>
      </c>
      <c r="Q5" s="14">
        <v>78.745948988114307</v>
      </c>
      <c r="R5" s="17">
        <v>5.3182120201787422</v>
      </c>
      <c r="S5" s="17">
        <v>11.072181432705159</v>
      </c>
      <c r="T5" s="14">
        <v>58.136866082275823</v>
      </c>
      <c r="U5" s="14">
        <v>9.8424300758959102</v>
      </c>
      <c r="V5" s="14">
        <v>82.950605725554354</v>
      </c>
      <c r="W5" s="17">
        <v>0.53532742745767692</v>
      </c>
      <c r="X5" s="17">
        <v>1.132335363003079</v>
      </c>
      <c r="Y5" s="14">
        <v>58.68569715407537</v>
      </c>
      <c r="Z5" s="14">
        <v>83.568595573323762</v>
      </c>
    </row>
    <row r="6" spans="1:26" x14ac:dyDescent="0.3">
      <c r="A6" s="13" t="s">
        <v>375</v>
      </c>
      <c r="B6" s="13" t="s">
        <v>370</v>
      </c>
      <c r="C6" s="13" t="s">
        <v>371</v>
      </c>
      <c r="D6" s="14">
        <v>132.80000000000001</v>
      </c>
      <c r="E6" s="15">
        <v>150.6415843272483</v>
      </c>
      <c r="F6" s="16">
        <v>2.1202100000000002</v>
      </c>
      <c r="G6" s="15">
        <v>67.286799999999999</v>
      </c>
      <c r="H6" s="17">
        <v>2.8642599999999998</v>
      </c>
      <c r="I6" s="14">
        <v>76.264476519850803</v>
      </c>
      <c r="J6" s="14">
        <v>71.857305814499512</v>
      </c>
      <c r="K6" s="17">
        <v>25.397759898615</v>
      </c>
      <c r="L6" s="14">
        <v>11.77774759948597</v>
      </c>
      <c r="M6" s="17">
        <v>13.59893259621912</v>
      </c>
      <c r="N6" s="17">
        <v>7.0839131967499318</v>
      </c>
      <c r="O6" s="17">
        <v>5.5781126905888083</v>
      </c>
      <c r="P6" s="14">
        <v>76.903482250831175</v>
      </c>
      <c r="Q6" s="14">
        <v>53.684230498717703</v>
      </c>
      <c r="R6" s="17">
        <v>5.9153723584273017</v>
      </c>
      <c r="S6" s="17">
        <v>12.69946519572188</v>
      </c>
      <c r="T6" s="14">
        <v>54.027211157358593</v>
      </c>
      <c r="U6" s="14">
        <v>10.43775038095959</v>
      </c>
      <c r="V6" s="14">
        <v>88.447635901724084</v>
      </c>
      <c r="W6" s="17">
        <v>0.71511380370669064</v>
      </c>
      <c r="X6" s="17">
        <v>1.346139798480805</v>
      </c>
      <c r="Y6" s="14">
        <v>44.634618872484623</v>
      </c>
      <c r="Z6" s="14">
        <v>87.692832925432768</v>
      </c>
    </row>
    <row r="7" spans="1:26" x14ac:dyDescent="0.3">
      <c r="A7" s="13" t="s">
        <v>376</v>
      </c>
      <c r="B7" s="13" t="s">
        <v>370</v>
      </c>
      <c r="C7" s="13" t="s">
        <v>371</v>
      </c>
      <c r="D7" s="14">
        <v>133.62799999999999</v>
      </c>
      <c r="E7" s="15">
        <v>200.3426993434951</v>
      </c>
      <c r="F7" s="16">
        <v>2.8197299999999998</v>
      </c>
      <c r="G7" s="15">
        <v>80</v>
      </c>
      <c r="H7" s="17">
        <v>2.67</v>
      </c>
      <c r="I7" s="14">
        <v>63.692689132359313</v>
      </c>
      <c r="J7" s="14">
        <v>60.107512288948612</v>
      </c>
      <c r="K7" s="17">
        <v>31.307247754473199</v>
      </c>
      <c r="L7" s="14">
        <v>24.260648098686261</v>
      </c>
      <c r="M7" s="17">
        <v>23.445419392693719</v>
      </c>
      <c r="N7" s="17">
        <v>12.54716014772584</v>
      </c>
      <c r="O7" s="17">
        <v>9.5739477044132997</v>
      </c>
      <c r="P7" s="14">
        <v>94.253709160423682</v>
      </c>
      <c r="Q7" s="14">
        <v>90.660236449510961</v>
      </c>
      <c r="R7" s="17">
        <v>4.5740500258593402</v>
      </c>
      <c r="S7" s="17">
        <v>9.2120002956171181</v>
      </c>
      <c r="T7" s="14">
        <v>64.70279131116574</v>
      </c>
      <c r="U7" s="14">
        <v>8.8250425743685241</v>
      </c>
      <c r="V7" s="14">
        <v>77.084849692250671</v>
      </c>
      <c r="W7" s="17">
        <v>0.36128673100953579</v>
      </c>
      <c r="X7" s="17">
        <v>0.89445398961917055</v>
      </c>
      <c r="Y7" s="14">
        <v>57.973948032773599</v>
      </c>
      <c r="Z7" s="14">
        <v>81.765677909247756</v>
      </c>
    </row>
    <row r="8" spans="1:26" x14ac:dyDescent="0.3">
      <c r="A8" s="13" t="s">
        <v>377</v>
      </c>
      <c r="B8" s="13" t="s">
        <v>370</v>
      </c>
      <c r="C8" s="13" t="s">
        <v>371</v>
      </c>
      <c r="D8" s="14">
        <v>134.15299999999999</v>
      </c>
      <c r="E8" s="15">
        <v>190.2137667086653</v>
      </c>
      <c r="F8" s="16">
        <v>2.6771699999999998</v>
      </c>
      <c r="G8" s="15">
        <v>80</v>
      </c>
      <c r="H8" s="17">
        <v>2.67</v>
      </c>
      <c r="I8" s="14">
        <v>66.767542435996347</v>
      </c>
      <c r="J8" s="14">
        <v>62.980189949980343</v>
      </c>
      <c r="K8" s="17">
        <v>30.120079839436698</v>
      </c>
      <c r="L8" s="14">
        <v>20.498491247912732</v>
      </c>
      <c r="M8" s="17">
        <v>22.286930133226779</v>
      </c>
      <c r="N8" s="17">
        <v>11.6096080360626</v>
      </c>
      <c r="O8" s="17">
        <v>8.8031502885295581</v>
      </c>
      <c r="P8" s="14">
        <v>93.466072110189245</v>
      </c>
      <c r="Q8" s="14">
        <v>87.1475103086876</v>
      </c>
      <c r="R8" s="17">
        <v>4.8193493283012607</v>
      </c>
      <c r="S8" s="17">
        <v>9.8304579612426597</v>
      </c>
      <c r="T8" s="14">
        <v>62.348611118428487</v>
      </c>
      <c r="U8" s="14">
        <v>9.1965046035731675</v>
      </c>
      <c r="V8" s="14">
        <v>79.682137788737819</v>
      </c>
      <c r="W8" s="17">
        <v>0.43269230342124487</v>
      </c>
      <c r="X8" s="17">
        <v>0.99877993467847315</v>
      </c>
      <c r="Y8" s="14">
        <v>57.956631691036961</v>
      </c>
      <c r="Z8" s="14">
        <v>83.030410691115563</v>
      </c>
    </row>
    <row r="9" spans="1:26" x14ac:dyDescent="0.3">
      <c r="A9" s="13" t="s">
        <v>378</v>
      </c>
      <c r="B9" s="13" t="s">
        <v>370</v>
      </c>
      <c r="C9" s="13" t="s">
        <v>371</v>
      </c>
      <c r="D9" s="14">
        <v>134.565</v>
      </c>
      <c r="E9" s="15">
        <v>131.69175532166841</v>
      </c>
      <c r="F9" s="16">
        <v>1.8534999999999999</v>
      </c>
      <c r="G9" s="15">
        <v>56.006999999999998</v>
      </c>
      <c r="H9" s="17">
        <v>3.03661</v>
      </c>
      <c r="I9" s="14">
        <v>83.094802159352241</v>
      </c>
      <c r="J9" s="14">
        <v>78.201137067350942</v>
      </c>
      <c r="K9" s="17">
        <v>23.098526808860399</v>
      </c>
      <c r="L9" s="14">
        <v>8.2439258106241287</v>
      </c>
      <c r="M9" s="17">
        <v>8.198284274073016</v>
      </c>
      <c r="N9" s="17">
        <v>4.6347416827190679</v>
      </c>
      <c r="O9" s="17">
        <v>3.7799976466153229</v>
      </c>
      <c r="P9" s="14">
        <v>35.172136297338177</v>
      </c>
      <c r="Q9" s="14">
        <v>15.417954318559699</v>
      </c>
      <c r="R9" s="17">
        <v>6.8132345427152279</v>
      </c>
      <c r="S9" s="17">
        <v>15.035132731770251</v>
      </c>
      <c r="T9" s="14">
        <v>49.198152081917733</v>
      </c>
      <c r="U9" s="14">
        <v>11.15328576245585</v>
      </c>
      <c r="V9" s="14">
        <v>95.729707063384822</v>
      </c>
      <c r="W9" s="17">
        <v>0.99701798531061081</v>
      </c>
      <c r="X9" s="17">
        <v>1.8144658327243319</v>
      </c>
      <c r="Y9" s="14">
        <v>37.438649706923272</v>
      </c>
      <c r="Z9" s="14">
        <v>91.998416518982182</v>
      </c>
    </row>
    <row r="10" spans="1:26" x14ac:dyDescent="0.3">
      <c r="A10" s="13" t="s">
        <v>379</v>
      </c>
      <c r="B10" s="13" t="s">
        <v>370</v>
      </c>
      <c r="C10" s="13" t="s">
        <v>371</v>
      </c>
      <c r="D10" s="14">
        <v>135.16800000000001</v>
      </c>
      <c r="E10" s="15">
        <v>161.33962996996939</v>
      </c>
      <c r="F10" s="16">
        <v>2.2707799999999998</v>
      </c>
      <c r="G10" s="15">
        <v>73.654399999999995</v>
      </c>
      <c r="H10" s="17">
        <v>2.7669600000000001</v>
      </c>
      <c r="I10" s="14">
        <v>75.365448503031303</v>
      </c>
      <c r="J10" s="14">
        <v>70.977247557576902</v>
      </c>
      <c r="K10" s="17">
        <v>26.695898213385099</v>
      </c>
      <c r="L10" s="14">
        <v>12.82977262879588</v>
      </c>
      <c r="M10" s="17">
        <v>16.557321911688049</v>
      </c>
      <c r="N10" s="17">
        <v>8.277670138274388</v>
      </c>
      <c r="O10" s="17">
        <v>6.345735150939344</v>
      </c>
      <c r="P10" s="14">
        <v>82.990450678937648</v>
      </c>
      <c r="Q10" s="14">
        <v>64.307035006064822</v>
      </c>
      <c r="R10" s="17">
        <v>5.6617578119135077</v>
      </c>
      <c r="S10" s="17">
        <v>12.00789434046521</v>
      </c>
      <c r="T10" s="14">
        <v>55.73662166784446</v>
      </c>
      <c r="U10" s="14">
        <v>10.21049888026846</v>
      </c>
      <c r="V10" s="14">
        <v>87.61202930324653</v>
      </c>
      <c r="W10" s="17">
        <v>0.70409388072023571</v>
      </c>
      <c r="X10" s="17">
        <v>1.459540061482967</v>
      </c>
      <c r="Y10" s="14">
        <v>50.971008914861471</v>
      </c>
      <c r="Z10" s="14">
        <v>84.557515864328195</v>
      </c>
    </row>
    <row r="11" spans="1:26" x14ac:dyDescent="0.3">
      <c r="A11" s="13" t="s">
        <v>380</v>
      </c>
      <c r="B11" s="13" t="s">
        <v>370</v>
      </c>
      <c r="C11" s="13" t="s">
        <v>381</v>
      </c>
      <c r="D11" s="14">
        <v>135.928</v>
      </c>
      <c r="E11" s="15">
        <v>193.62276073096561</v>
      </c>
      <c r="F11" s="16">
        <v>2.7251500000000002</v>
      </c>
      <c r="G11" s="15">
        <v>80</v>
      </c>
      <c r="H11" s="17">
        <v>2.67</v>
      </c>
      <c r="I11" s="14">
        <v>67.326088759162133</v>
      </c>
      <c r="J11" s="14">
        <v>63.480148888457343</v>
      </c>
      <c r="K11" s="17">
        <v>30.564905265253199</v>
      </c>
      <c r="L11" s="14">
        <v>20.321528747663919</v>
      </c>
      <c r="M11" s="17">
        <v>22.13421740338903</v>
      </c>
      <c r="N11" s="17">
        <v>11.51671103461279</v>
      </c>
      <c r="O11" s="17">
        <v>8.748301030654634</v>
      </c>
      <c r="P11" s="14">
        <v>93.102019690272982</v>
      </c>
      <c r="Q11" s="14">
        <v>86.641498346067607</v>
      </c>
      <c r="R11" s="17">
        <v>4.8069749522607097</v>
      </c>
      <c r="S11" s="17">
        <v>9.8134434608014836</v>
      </c>
      <c r="T11" s="14">
        <v>62.493833337539392</v>
      </c>
      <c r="U11" s="14">
        <v>9.1679064902267182</v>
      </c>
      <c r="V11" s="14">
        <v>80.516561818562366</v>
      </c>
      <c r="W11" s="17">
        <v>0.45881073585122278</v>
      </c>
      <c r="X11" s="17">
        <v>1.1006295239413211</v>
      </c>
      <c r="Y11" s="14">
        <v>57.978189905836118</v>
      </c>
      <c r="Z11" s="14">
        <v>82.055148030493342</v>
      </c>
    </row>
    <row r="12" spans="1:26" x14ac:dyDescent="0.3">
      <c r="A12" s="13" t="s">
        <v>382</v>
      </c>
      <c r="B12" s="13" t="s">
        <v>370</v>
      </c>
      <c r="C12" s="13" t="s">
        <v>371</v>
      </c>
      <c r="D12" s="14">
        <v>136.583</v>
      </c>
      <c r="E12" s="15">
        <v>158.404541536013</v>
      </c>
      <c r="F12" s="16">
        <v>2.2294700000000001</v>
      </c>
      <c r="G12" s="15">
        <v>71.907399999999996</v>
      </c>
      <c r="H12" s="17">
        <v>2.79366</v>
      </c>
      <c r="I12" s="14">
        <v>77.34767871136745</v>
      </c>
      <c r="J12" s="14">
        <v>72.832001538742645</v>
      </c>
      <c r="K12" s="17">
        <v>26.363726201858199</v>
      </c>
      <c r="L12" s="14">
        <v>11.71115109711128</v>
      </c>
      <c r="M12" s="17">
        <v>15.246740767391181</v>
      </c>
      <c r="N12" s="17">
        <v>7.6483666205266809</v>
      </c>
      <c r="O12" s="17">
        <v>5.8936279760591157</v>
      </c>
      <c r="P12" s="14">
        <v>77.582942824230486</v>
      </c>
      <c r="Q12" s="14">
        <v>58.69544315094992</v>
      </c>
      <c r="R12" s="17">
        <v>5.8246777899397726</v>
      </c>
      <c r="S12" s="17">
        <v>12.440423328195619</v>
      </c>
      <c r="T12" s="14">
        <v>54.682928438329242</v>
      </c>
      <c r="U12" s="14">
        <v>10.3617966292502</v>
      </c>
      <c r="V12" s="14">
        <v>89.743517311661336</v>
      </c>
      <c r="W12" s="17">
        <v>0.78181231763023717</v>
      </c>
      <c r="X12" s="17">
        <v>1.608102289251967</v>
      </c>
      <c r="Y12" s="14">
        <v>51.523656939630818</v>
      </c>
      <c r="Z12" s="14">
        <v>86.414977012178369</v>
      </c>
    </row>
    <row r="13" spans="1:26" x14ac:dyDescent="0.3">
      <c r="A13" s="13" t="s">
        <v>383</v>
      </c>
      <c r="B13" s="13" t="s">
        <v>370</v>
      </c>
      <c r="C13" s="13" t="s">
        <v>371</v>
      </c>
      <c r="D13" s="14">
        <v>137.20599999999999</v>
      </c>
      <c r="E13" s="15">
        <v>214.88101440900351</v>
      </c>
      <c r="F13" s="16">
        <v>3.0243500000000001</v>
      </c>
      <c r="G13" s="15">
        <v>80</v>
      </c>
      <c r="H13" s="17">
        <v>2.67</v>
      </c>
      <c r="I13" s="14">
        <v>62.818229716479323</v>
      </c>
      <c r="J13" s="14">
        <v>59.268892939479599</v>
      </c>
      <c r="K13" s="17">
        <v>33.097395896112197</v>
      </c>
      <c r="L13" s="14">
        <v>26.593306629551531</v>
      </c>
      <c r="M13" s="17">
        <v>23.782646973039519</v>
      </c>
      <c r="N13" s="17">
        <v>12.96357620130744</v>
      </c>
      <c r="O13" s="17">
        <v>9.9738880709152724</v>
      </c>
      <c r="P13" s="14">
        <v>94.159092556413199</v>
      </c>
      <c r="Q13" s="14">
        <v>91.327774757961635</v>
      </c>
      <c r="R13" s="17">
        <v>4.4090647180967428</v>
      </c>
      <c r="S13" s="17">
        <v>8.8200048399110216</v>
      </c>
      <c r="T13" s="14">
        <v>66.495833882668478</v>
      </c>
      <c r="U13" s="14">
        <v>8.5224317197444694</v>
      </c>
      <c r="V13" s="14">
        <v>77.20487436434702</v>
      </c>
      <c r="W13" s="17">
        <v>0.3638308558144065</v>
      </c>
      <c r="X13" s="17">
        <v>0.97033268642383597</v>
      </c>
      <c r="Y13" s="14">
        <v>57.971594930681839</v>
      </c>
      <c r="Z13" s="14">
        <v>81.321922102314304</v>
      </c>
    </row>
    <row r="14" spans="1:26" x14ac:dyDescent="0.3">
      <c r="A14" s="13" t="s">
        <v>384</v>
      </c>
      <c r="B14" s="13" t="s">
        <v>370</v>
      </c>
      <c r="C14" s="13" t="s">
        <v>381</v>
      </c>
      <c r="D14" s="14">
        <v>137.79599999999999</v>
      </c>
      <c r="E14" s="15">
        <v>138.20564802622229</v>
      </c>
      <c r="F14" s="16">
        <v>1.9451799999999999</v>
      </c>
      <c r="G14" s="15">
        <v>59.8842</v>
      </c>
      <c r="H14" s="17">
        <v>2.9773700000000001</v>
      </c>
      <c r="I14" s="14">
        <v>83.979204300252718</v>
      </c>
      <c r="J14" s="14">
        <v>79.023863074508199</v>
      </c>
      <c r="K14" s="17">
        <v>23.9248463242252</v>
      </c>
      <c r="L14" s="14">
        <v>8.246027829155441</v>
      </c>
      <c r="M14" s="17">
        <v>9.2351460899222939</v>
      </c>
      <c r="N14" s="17">
        <v>5.0032086899749366</v>
      </c>
      <c r="O14" s="17">
        <v>4.0091765526837726</v>
      </c>
      <c r="P14" s="14">
        <v>42.705524654531409</v>
      </c>
      <c r="Q14" s="14">
        <v>20.645960948273341</v>
      </c>
      <c r="R14" s="17">
        <v>6.681522160140223</v>
      </c>
      <c r="S14" s="17">
        <v>14.69545371366549</v>
      </c>
      <c r="T14" s="14">
        <v>49.893151656670703</v>
      </c>
      <c r="U14" s="14">
        <v>11.06318156575726</v>
      </c>
      <c r="V14" s="14">
        <v>96.717078865263744</v>
      </c>
      <c r="W14" s="17">
        <v>1.0693943658028451</v>
      </c>
      <c r="X14" s="17">
        <v>1.954895552201019</v>
      </c>
      <c r="Y14" s="14">
        <v>45.457961180166002</v>
      </c>
      <c r="Z14" s="14">
        <v>89.687770031706251</v>
      </c>
    </row>
    <row r="15" spans="1:26" x14ac:dyDescent="0.3">
      <c r="A15" s="13" t="s">
        <v>385</v>
      </c>
      <c r="B15" s="13" t="s">
        <v>370</v>
      </c>
      <c r="C15" s="13" t="s">
        <v>371</v>
      </c>
      <c r="D15" s="14">
        <v>138.47</v>
      </c>
      <c r="E15" s="15">
        <v>181.86677592625921</v>
      </c>
      <c r="F15" s="16">
        <v>2.5596899999999998</v>
      </c>
      <c r="G15" s="15">
        <v>80</v>
      </c>
      <c r="H15" s="17">
        <v>2.67</v>
      </c>
      <c r="I15" s="14">
        <v>72.589605024741843</v>
      </c>
      <c r="J15" s="14">
        <v>68.37415615928353</v>
      </c>
      <c r="K15" s="17">
        <v>29.192059248419501</v>
      </c>
      <c r="L15" s="14">
        <v>15.64533868798976</v>
      </c>
      <c r="M15" s="17">
        <v>20.398106978773161</v>
      </c>
      <c r="N15" s="17">
        <v>10.18847040804779</v>
      </c>
      <c r="O15" s="17">
        <v>7.6369877664991703</v>
      </c>
      <c r="P15" s="14">
        <v>89.97487497633827</v>
      </c>
      <c r="Q15" s="14">
        <v>77.765212672556018</v>
      </c>
      <c r="R15" s="17">
        <v>5.2005074272200709</v>
      </c>
      <c r="S15" s="17">
        <v>10.806912595435589</v>
      </c>
      <c r="T15" s="14">
        <v>59.167589972749617</v>
      </c>
      <c r="U15" s="14">
        <v>9.6846392241297359</v>
      </c>
      <c r="V15" s="14">
        <v>85.343062760336082</v>
      </c>
      <c r="W15" s="17">
        <v>0.63000857575519209</v>
      </c>
      <c r="X15" s="17">
        <v>1.4085943311721969</v>
      </c>
      <c r="Y15" s="14">
        <v>57.98116265106917</v>
      </c>
      <c r="Z15" s="14">
        <v>82.547083212223654</v>
      </c>
    </row>
    <row r="16" spans="1:26" x14ac:dyDescent="0.3">
      <c r="A16" s="13" t="s">
        <v>386</v>
      </c>
      <c r="B16" s="13" t="s">
        <v>370</v>
      </c>
      <c r="C16" s="13" t="s">
        <v>381</v>
      </c>
      <c r="D16" s="14">
        <v>139.11199999999999</v>
      </c>
      <c r="E16" s="15">
        <v>174.21323619966091</v>
      </c>
      <c r="F16" s="16">
        <v>2.4519700000000002</v>
      </c>
      <c r="G16" s="15">
        <v>80</v>
      </c>
      <c r="H16" s="17">
        <v>2.67</v>
      </c>
      <c r="I16" s="14">
        <v>75.186688164265206</v>
      </c>
      <c r="J16" s="14">
        <v>70.797518317136849</v>
      </c>
      <c r="K16" s="17">
        <v>28.271942964939399</v>
      </c>
      <c r="L16" s="14">
        <v>13.659437308797839</v>
      </c>
      <c r="M16" s="17">
        <v>19.568379482802399</v>
      </c>
      <c r="N16" s="17">
        <v>9.5745386126260108</v>
      </c>
      <c r="O16" s="17">
        <v>7.1295272177661637</v>
      </c>
      <c r="P16" s="14">
        <v>86.478098810136004</v>
      </c>
      <c r="Q16" s="14">
        <v>71.834333000920822</v>
      </c>
      <c r="R16" s="17">
        <v>5.4431350876480664</v>
      </c>
      <c r="S16" s="17">
        <v>11.4051382825159</v>
      </c>
      <c r="T16" s="14">
        <v>57.353148031149807</v>
      </c>
      <c r="U16" s="14">
        <v>9.9829234603162806</v>
      </c>
      <c r="V16" s="14">
        <v>87.631177090246865</v>
      </c>
      <c r="W16" s="17">
        <v>0.72697442060133399</v>
      </c>
      <c r="X16" s="17">
        <v>1.6170453451554101</v>
      </c>
      <c r="Y16" s="14">
        <v>58.002091530048617</v>
      </c>
      <c r="Z16" s="14">
        <v>81.892406743095947</v>
      </c>
    </row>
    <row r="17" spans="1:26" x14ac:dyDescent="0.3">
      <c r="A17" s="13" t="s">
        <v>387</v>
      </c>
      <c r="B17" s="13" t="s">
        <v>370</v>
      </c>
      <c r="C17" s="13" t="s">
        <v>371</v>
      </c>
      <c r="D17" s="14">
        <v>139.88800000000001</v>
      </c>
      <c r="E17" s="15">
        <v>152.46757737379099</v>
      </c>
      <c r="F17" s="16">
        <v>2.1459100000000002</v>
      </c>
      <c r="G17" s="15">
        <v>68.373699999999999</v>
      </c>
      <c r="H17" s="17">
        <v>2.8476499999999998</v>
      </c>
      <c r="I17" s="14">
        <v>81.758822046834609</v>
      </c>
      <c r="J17" s="14">
        <v>76.926092861713528</v>
      </c>
      <c r="K17" s="17">
        <v>25.692742597167499</v>
      </c>
      <c r="L17" s="14">
        <v>9.6249269185140705</v>
      </c>
      <c r="M17" s="17">
        <v>12.767436797383841</v>
      </c>
      <c r="N17" s="17">
        <v>6.4303063334094359</v>
      </c>
      <c r="O17" s="17">
        <v>4.9784870250787847</v>
      </c>
      <c r="P17" s="14">
        <v>62.339821969210313</v>
      </c>
      <c r="Q17" s="14">
        <v>41.020796579826083</v>
      </c>
      <c r="R17" s="17">
        <v>6.193207118599009</v>
      </c>
      <c r="S17" s="17">
        <v>13.42049971006244</v>
      </c>
      <c r="T17" s="14">
        <v>52.517272069169962</v>
      </c>
      <c r="U17" s="14">
        <v>10.67798441602581</v>
      </c>
      <c r="V17" s="14">
        <v>94.353034052413406</v>
      </c>
      <c r="W17" s="17">
        <v>1.0092278832436019</v>
      </c>
      <c r="X17" s="17">
        <v>2.001049428872903</v>
      </c>
      <c r="Y17" s="14">
        <v>52.572903981511892</v>
      </c>
      <c r="Z17" s="14">
        <v>86.283924330667176</v>
      </c>
    </row>
    <row r="18" spans="1:26" x14ac:dyDescent="0.3">
      <c r="A18" s="13" t="s">
        <v>388</v>
      </c>
      <c r="B18" s="13" t="s">
        <v>370</v>
      </c>
      <c r="C18" s="13" t="s">
        <v>371</v>
      </c>
      <c r="D18" s="14">
        <v>140.494</v>
      </c>
      <c r="E18" s="15">
        <v>197.5241334230146</v>
      </c>
      <c r="F18" s="16">
        <v>2.7800600000000002</v>
      </c>
      <c r="G18" s="15">
        <v>80</v>
      </c>
      <c r="H18" s="17">
        <v>2.67</v>
      </c>
      <c r="I18" s="14">
        <v>69.981244377506812</v>
      </c>
      <c r="J18" s="14">
        <v>65.953015035875922</v>
      </c>
      <c r="K18" s="17">
        <v>31.125859348065301</v>
      </c>
      <c r="L18" s="14">
        <v>18.5064621453024</v>
      </c>
      <c r="M18" s="17">
        <v>21.23688445494961</v>
      </c>
      <c r="N18" s="17">
        <v>10.908907075086709</v>
      </c>
      <c r="O18" s="17">
        <v>8.2686673857128721</v>
      </c>
      <c r="P18" s="14">
        <v>92.195635973606642</v>
      </c>
      <c r="Q18" s="14">
        <v>83.403816908645013</v>
      </c>
      <c r="R18" s="17">
        <v>4.8856141830683324</v>
      </c>
      <c r="S18" s="17">
        <v>10.05105129900593</v>
      </c>
      <c r="T18" s="14">
        <v>61.862818865772653</v>
      </c>
      <c r="U18" s="14">
        <v>9.2579932834370418</v>
      </c>
      <c r="V18" s="14">
        <v>83.761146469247336</v>
      </c>
      <c r="W18" s="17">
        <v>0.57428261809931991</v>
      </c>
      <c r="X18" s="17">
        <v>1.3815377187744731</v>
      </c>
      <c r="Y18" s="14">
        <v>57.972194934019932</v>
      </c>
      <c r="Z18" s="14">
        <v>82.004998905651206</v>
      </c>
    </row>
    <row r="19" spans="1:26" x14ac:dyDescent="0.3">
      <c r="A19" s="13" t="s">
        <v>389</v>
      </c>
      <c r="B19" s="13" t="s">
        <v>370</v>
      </c>
      <c r="C19" s="13" t="s">
        <v>371</v>
      </c>
      <c r="D19" s="14">
        <v>140.684</v>
      </c>
      <c r="E19" s="15">
        <v>167.01654998626361</v>
      </c>
      <c r="F19" s="16">
        <v>2.3506800000000001</v>
      </c>
      <c r="G19" s="15">
        <v>77.033799999999999</v>
      </c>
      <c r="H19" s="17">
        <v>2.7153200000000002</v>
      </c>
      <c r="I19" s="14">
        <v>78.48339406389681</v>
      </c>
      <c r="J19" s="14">
        <v>73.832137763088838</v>
      </c>
      <c r="K19" s="17">
        <v>27.438444717066201</v>
      </c>
      <c r="L19" s="14">
        <v>11.664265172555741</v>
      </c>
      <c r="M19" s="17">
        <v>17.271090561734809</v>
      </c>
      <c r="N19" s="17">
        <v>8.3742151683247741</v>
      </c>
      <c r="O19" s="17">
        <v>6.2953623979223643</v>
      </c>
      <c r="P19" s="14">
        <v>79.285200508839594</v>
      </c>
      <c r="Q19" s="14">
        <v>61.830810353041521</v>
      </c>
      <c r="R19" s="17">
        <v>5.7286134338444397</v>
      </c>
      <c r="S19" s="17">
        <v>12.161854502947939</v>
      </c>
      <c r="T19" s="14">
        <v>55.394138607363999</v>
      </c>
      <c r="U19" s="14">
        <v>10.265136074327179</v>
      </c>
      <c r="V19" s="14">
        <v>90.95695922147344</v>
      </c>
      <c r="W19" s="17">
        <v>0.87682750877605686</v>
      </c>
      <c r="X19" s="17">
        <v>1.848783242554253</v>
      </c>
      <c r="Y19" s="14">
        <v>51.379998585310133</v>
      </c>
      <c r="Z19" s="14">
        <v>82.694358130255651</v>
      </c>
    </row>
    <row r="20" spans="1:26" x14ac:dyDescent="0.3">
      <c r="A20" s="13" t="s">
        <v>390</v>
      </c>
      <c r="B20" s="13" t="s">
        <v>370</v>
      </c>
      <c r="C20" s="13" t="s">
        <v>371</v>
      </c>
      <c r="D20" s="14">
        <v>141.70099999999999</v>
      </c>
      <c r="E20" s="15">
        <v>208.99449596907891</v>
      </c>
      <c r="F20" s="16">
        <v>2.9415</v>
      </c>
      <c r="G20" s="15">
        <v>80</v>
      </c>
      <c r="H20" s="17">
        <v>2.67</v>
      </c>
      <c r="I20" s="14">
        <v>67.916623299551134</v>
      </c>
      <c r="J20" s="14">
        <v>64.020661432427346</v>
      </c>
      <c r="K20" s="17">
        <v>32.524001841097103</v>
      </c>
      <c r="L20" s="14">
        <v>21.039687057204251</v>
      </c>
      <c r="M20" s="17">
        <v>21.914694560456901</v>
      </c>
      <c r="N20" s="17">
        <v>11.50812768997308</v>
      </c>
      <c r="O20" s="17">
        <v>8.7882713060745452</v>
      </c>
      <c r="P20" s="14">
        <v>92.949453041952765</v>
      </c>
      <c r="Q20" s="14">
        <v>86.583036996622056</v>
      </c>
      <c r="R20" s="17">
        <v>4.6768448463134016</v>
      </c>
      <c r="S20" s="17">
        <v>9.5402227517775646</v>
      </c>
      <c r="T20" s="14">
        <v>63.828841642692048</v>
      </c>
      <c r="U20" s="14">
        <v>8.9393331123013766</v>
      </c>
      <c r="V20" s="14">
        <v>82.361930189972512</v>
      </c>
      <c r="W20" s="17">
        <v>0.52277310278741052</v>
      </c>
      <c r="X20" s="17">
        <v>1.386590898071183</v>
      </c>
      <c r="Y20" s="14">
        <v>57.982251328420787</v>
      </c>
      <c r="Z20" s="14">
        <v>82.279870860164493</v>
      </c>
    </row>
    <row r="21" spans="1:26" x14ac:dyDescent="0.3">
      <c r="A21" s="13" t="s">
        <v>391</v>
      </c>
      <c r="B21" s="13" t="s">
        <v>370</v>
      </c>
      <c r="C21" s="13" t="s">
        <v>371</v>
      </c>
      <c r="D21" s="14">
        <v>142.148</v>
      </c>
      <c r="E21" s="15">
        <v>137.08092156992771</v>
      </c>
      <c r="F21" s="16">
        <v>1.9293499999999999</v>
      </c>
      <c r="G21" s="15">
        <v>59.2149</v>
      </c>
      <c r="H21" s="17">
        <v>2.9876</v>
      </c>
      <c r="I21" s="14">
        <v>88.049451285214843</v>
      </c>
      <c r="J21" s="14">
        <v>82.770226307874623</v>
      </c>
      <c r="K21" s="17">
        <v>23.818069652498099</v>
      </c>
      <c r="L21" s="14">
        <v>7.0612248233405204</v>
      </c>
      <c r="M21" s="17">
        <v>8.3918251676639599</v>
      </c>
      <c r="N21" s="17">
        <v>4.4721421647456054</v>
      </c>
      <c r="O21" s="17">
        <v>3.5507284332421052</v>
      </c>
      <c r="P21" s="14">
        <v>31.567468280093941</v>
      </c>
      <c r="Q21" s="14">
        <v>14.083686263632741</v>
      </c>
      <c r="R21" s="17">
        <v>6.9705197113809332</v>
      </c>
      <c r="S21" s="17">
        <v>15.43678399567556</v>
      </c>
      <c r="T21" s="14">
        <v>48.611335177101047</v>
      </c>
      <c r="U21" s="14">
        <v>11.2589420889427</v>
      </c>
      <c r="V21" s="14">
        <v>101.2216271594838</v>
      </c>
      <c r="W21" s="17">
        <v>1.3464606529407619</v>
      </c>
      <c r="X21" s="17">
        <v>2.498947933020812</v>
      </c>
      <c r="Y21" s="14">
        <v>45.622241019994362</v>
      </c>
      <c r="Z21" s="14">
        <v>90.083334292103856</v>
      </c>
    </row>
    <row r="22" spans="1:26" x14ac:dyDescent="0.3">
      <c r="A22" s="13" t="s">
        <v>392</v>
      </c>
      <c r="B22" s="13" t="s">
        <v>370</v>
      </c>
      <c r="C22" s="13" t="s">
        <v>371</v>
      </c>
      <c r="D22" s="14">
        <v>142.85300000000001</v>
      </c>
      <c r="E22" s="15">
        <v>186.65272501634161</v>
      </c>
      <c r="F22" s="16">
        <v>2.6270500000000001</v>
      </c>
      <c r="G22" s="15">
        <v>80</v>
      </c>
      <c r="H22" s="17">
        <v>2.67</v>
      </c>
      <c r="I22" s="14">
        <v>74.85314640081333</v>
      </c>
      <c r="J22" s="14">
        <v>70.482680692849044</v>
      </c>
      <c r="K22" s="17">
        <v>29.8519522037362</v>
      </c>
      <c r="L22" s="14">
        <v>14.584299343073241</v>
      </c>
      <c r="M22" s="17">
        <v>19.710493783743729</v>
      </c>
      <c r="N22" s="17">
        <v>9.7561504159106818</v>
      </c>
      <c r="O22" s="17">
        <v>7.3053134495430694</v>
      </c>
      <c r="P22" s="14">
        <v>87.538711750899111</v>
      </c>
      <c r="Q22" s="14">
        <v>73.741297151312892</v>
      </c>
      <c r="R22" s="17">
        <v>5.2448732485393208</v>
      </c>
      <c r="S22" s="17">
        <v>10.95859310745422</v>
      </c>
      <c r="T22" s="14">
        <v>58.908060289248908</v>
      </c>
      <c r="U22" s="14">
        <v>9.7285671686802839</v>
      </c>
      <c r="V22" s="14">
        <v>88.228828169436525</v>
      </c>
      <c r="W22" s="17">
        <v>0.76058876353495286</v>
      </c>
      <c r="X22" s="17">
        <v>1.8320247106092591</v>
      </c>
      <c r="Y22" s="14">
        <v>58.009077695208617</v>
      </c>
      <c r="Z22" s="14">
        <v>82.252096241465836</v>
      </c>
    </row>
    <row r="23" spans="1:26" x14ac:dyDescent="0.3">
      <c r="A23" s="13" t="s">
        <v>393</v>
      </c>
      <c r="B23" s="13" t="s">
        <v>370</v>
      </c>
      <c r="C23" s="13" t="s">
        <v>371</v>
      </c>
      <c r="D23" s="14">
        <v>143.53399999999999</v>
      </c>
      <c r="E23" s="15">
        <v>148.30473952955219</v>
      </c>
      <c r="F23" s="16">
        <v>2.0873200000000001</v>
      </c>
      <c r="G23" s="15">
        <v>65.895700000000005</v>
      </c>
      <c r="H23" s="17">
        <v>2.88551</v>
      </c>
      <c r="I23" s="14">
        <v>86.032577329316041</v>
      </c>
      <c r="J23" s="14">
        <v>80.880864805191038</v>
      </c>
      <c r="K23" s="17">
        <v>25.218553933844301</v>
      </c>
      <c r="L23" s="14">
        <v>8.0460646861799798</v>
      </c>
      <c r="M23" s="17">
        <v>10.99821360682151</v>
      </c>
      <c r="N23" s="17">
        <v>5.5302512994899562</v>
      </c>
      <c r="O23" s="17">
        <v>4.275414540861477</v>
      </c>
      <c r="P23" s="14">
        <v>49.272592621554047</v>
      </c>
      <c r="Q23" s="14">
        <v>28.030447717728521</v>
      </c>
      <c r="R23" s="17">
        <v>6.5381572529089791</v>
      </c>
      <c r="S23" s="17">
        <v>14.3219943503638</v>
      </c>
      <c r="T23" s="14">
        <v>50.717320895307353</v>
      </c>
      <c r="U23" s="14">
        <v>10.942104255228109</v>
      </c>
      <c r="V23" s="14">
        <v>98.905946578023503</v>
      </c>
      <c r="W23" s="17">
        <v>1.272637535038412</v>
      </c>
      <c r="X23" s="17">
        <v>2.4076818974780978</v>
      </c>
      <c r="Y23" s="14">
        <v>45.063093439829323</v>
      </c>
      <c r="Z23" s="14">
        <v>88.021961208433623</v>
      </c>
    </row>
    <row r="24" spans="1:26" x14ac:dyDescent="0.3">
      <c r="A24" s="13" t="s">
        <v>394</v>
      </c>
      <c r="B24" s="13" t="s">
        <v>370</v>
      </c>
      <c r="C24" s="13" t="s">
        <v>371</v>
      </c>
      <c r="D24" s="14">
        <v>144.095</v>
      </c>
      <c r="E24" s="15">
        <v>171.67034549398909</v>
      </c>
      <c r="F24" s="16">
        <v>2.4161800000000002</v>
      </c>
      <c r="G24" s="15">
        <v>79.803700000000006</v>
      </c>
      <c r="H24" s="17">
        <v>2.673</v>
      </c>
      <c r="I24" s="14">
        <v>80.042518575606323</v>
      </c>
      <c r="J24" s="14">
        <v>75.290713151509351</v>
      </c>
      <c r="K24" s="17">
        <v>28.033942161646301</v>
      </c>
      <c r="L24" s="14">
        <v>11.19962323928708</v>
      </c>
      <c r="M24" s="17">
        <v>18.145221131954891</v>
      </c>
      <c r="N24" s="17">
        <v>8.6177373368851757</v>
      </c>
      <c r="O24" s="17">
        <v>6.3618134037242919</v>
      </c>
      <c r="P24" s="14">
        <v>77.689276505514002</v>
      </c>
      <c r="Q24" s="14">
        <v>60.522507449430741</v>
      </c>
      <c r="R24" s="17">
        <v>5.7320159276820624</v>
      </c>
      <c r="S24" s="17">
        <v>12.15795487043421</v>
      </c>
      <c r="T24" s="14">
        <v>55.444850194198523</v>
      </c>
      <c r="U24" s="14">
        <v>10.275228019529351</v>
      </c>
      <c r="V24" s="14">
        <v>92.803187398072879</v>
      </c>
      <c r="W24" s="17">
        <v>1.007478186141664</v>
      </c>
      <c r="X24" s="17">
        <v>2.2732509767804392</v>
      </c>
      <c r="Y24" s="14">
        <v>58.084769018512397</v>
      </c>
      <c r="Z24" s="14">
        <v>83.410591300985658</v>
      </c>
    </row>
    <row r="25" spans="1:26" x14ac:dyDescent="0.3">
      <c r="A25" s="13" t="s">
        <v>395</v>
      </c>
      <c r="B25" s="13" t="s">
        <v>370</v>
      </c>
      <c r="C25" s="13" t="s">
        <v>381</v>
      </c>
      <c r="D25" s="14">
        <v>144.63900000000001</v>
      </c>
      <c r="E25" s="15">
        <v>203.43409846626059</v>
      </c>
      <c r="F25" s="16">
        <v>2.8632399999999998</v>
      </c>
      <c r="G25" s="15">
        <v>80</v>
      </c>
      <c r="H25" s="17">
        <v>2.67</v>
      </c>
      <c r="I25" s="14">
        <v>71.764090020050105</v>
      </c>
      <c r="J25" s="14">
        <v>67.59978751827731</v>
      </c>
      <c r="K25" s="17">
        <v>31.918377959956899</v>
      </c>
      <c r="L25" s="14">
        <v>17.623590171061281</v>
      </c>
      <c r="M25" s="17">
        <v>20.69214385161877</v>
      </c>
      <c r="N25" s="17">
        <v>10.560726420555209</v>
      </c>
      <c r="O25" s="17">
        <v>8.0138015775011837</v>
      </c>
      <c r="P25" s="14">
        <v>91.750112094996481</v>
      </c>
      <c r="Q25" s="14">
        <v>81.25949905003111</v>
      </c>
      <c r="R25" s="17">
        <v>4.900026278100774</v>
      </c>
      <c r="S25" s="17">
        <v>10.12281752662884</v>
      </c>
      <c r="T25" s="14">
        <v>61.80987690989393</v>
      </c>
      <c r="U25" s="14">
        <v>9.2572215283453154</v>
      </c>
      <c r="V25" s="14">
        <v>86.172778664076759</v>
      </c>
      <c r="W25" s="17">
        <v>0.6740318890527508</v>
      </c>
      <c r="X25" s="17">
        <v>1.720297910038127</v>
      </c>
      <c r="Y25" s="14">
        <v>57.986344851708843</v>
      </c>
      <c r="Z25" s="14">
        <v>81.95105434313264</v>
      </c>
    </row>
    <row r="26" spans="1:26" x14ac:dyDescent="0.3">
      <c r="A26" s="13" t="s">
        <v>396</v>
      </c>
      <c r="B26" s="13" t="s">
        <v>370</v>
      </c>
      <c r="C26" s="13" t="s">
        <v>371</v>
      </c>
      <c r="D26" s="14">
        <v>145.12700000000001</v>
      </c>
      <c r="E26" s="15">
        <v>155.8751503898294</v>
      </c>
      <c r="F26" s="16">
        <v>2.19387</v>
      </c>
      <c r="G26" s="15">
        <v>70.401700000000005</v>
      </c>
      <c r="H26" s="17">
        <v>2.8166600000000002</v>
      </c>
      <c r="I26" s="14">
        <v>85.258613539327939</v>
      </c>
      <c r="J26" s="14">
        <v>80.146761125205842</v>
      </c>
      <c r="K26" s="17">
        <v>26.156152429210099</v>
      </c>
      <c r="L26" s="14">
        <v>8.5836829002985997</v>
      </c>
      <c r="M26" s="17">
        <v>12.80718493473344</v>
      </c>
      <c r="N26" s="17">
        <v>6.2563719539737539</v>
      </c>
      <c r="O26" s="17">
        <v>4.7579120263927273</v>
      </c>
      <c r="P26" s="14">
        <v>57.460897631963249</v>
      </c>
      <c r="Q26" s="14">
        <v>37.347318540474859</v>
      </c>
      <c r="R26" s="17">
        <v>6.3157642012836446</v>
      </c>
      <c r="S26" s="17">
        <v>13.73256251481925</v>
      </c>
      <c r="T26" s="14">
        <v>51.931428768206843</v>
      </c>
      <c r="U26" s="14">
        <v>10.777229324663059</v>
      </c>
      <c r="V26" s="14">
        <v>98.305822114356843</v>
      </c>
      <c r="W26" s="17">
        <v>1.2799835030573361</v>
      </c>
      <c r="X26" s="17">
        <v>2.6388429888364322</v>
      </c>
      <c r="Y26" s="14">
        <v>52.065131701445267</v>
      </c>
      <c r="Z26" s="14">
        <v>86.395081611619688</v>
      </c>
    </row>
    <row r="27" spans="1:26" x14ac:dyDescent="0.3">
      <c r="A27" s="13" t="s">
        <v>397</v>
      </c>
      <c r="B27" s="13" t="s">
        <v>370</v>
      </c>
      <c r="C27" s="13" t="s">
        <v>371</v>
      </c>
      <c r="D27" s="14">
        <v>145.68700000000001</v>
      </c>
      <c r="E27" s="15">
        <v>177.5312858211995</v>
      </c>
      <c r="F27" s="16">
        <v>2.4986700000000002</v>
      </c>
      <c r="G27" s="15">
        <v>80</v>
      </c>
      <c r="H27" s="17">
        <v>2.67</v>
      </c>
      <c r="I27" s="14">
        <v>79.72192914785461</v>
      </c>
      <c r="J27" s="14">
        <v>74.999115750065016</v>
      </c>
      <c r="K27" s="17">
        <v>28.776786617566</v>
      </c>
      <c r="L27" s="14">
        <v>11.624089978473039</v>
      </c>
      <c r="M27" s="17">
        <v>18.327805272831181</v>
      </c>
      <c r="N27" s="17">
        <v>8.7586471602703018</v>
      </c>
      <c r="O27" s="17">
        <v>6.4749704165319537</v>
      </c>
      <c r="P27" s="14">
        <v>79.273000896049624</v>
      </c>
      <c r="Q27" s="14">
        <v>61.920267722429799</v>
      </c>
      <c r="R27" s="17">
        <v>5.6174055093169137</v>
      </c>
      <c r="S27" s="17">
        <v>11.8930117009653</v>
      </c>
      <c r="T27" s="14">
        <v>56.241205733238118</v>
      </c>
      <c r="U27" s="14">
        <v>10.14882637143924</v>
      </c>
      <c r="V27" s="14">
        <v>92.897921824476882</v>
      </c>
      <c r="W27" s="17">
        <v>1.0225946517840141</v>
      </c>
      <c r="X27" s="17">
        <v>2.419914043286175</v>
      </c>
      <c r="Y27" s="14">
        <v>58.012451534660507</v>
      </c>
      <c r="Z27" s="14">
        <v>82.602233174556233</v>
      </c>
    </row>
    <row r="28" spans="1:26" x14ac:dyDescent="0.3">
      <c r="A28" s="13" t="s">
        <v>398</v>
      </c>
      <c r="B28" s="13" t="s">
        <v>370</v>
      </c>
      <c r="C28" s="13" t="s">
        <v>381</v>
      </c>
      <c r="D28" s="14">
        <v>146.46700000000001</v>
      </c>
      <c r="E28" s="15">
        <v>134.04991521329299</v>
      </c>
      <c r="F28" s="16">
        <v>1.88669</v>
      </c>
      <c r="G28" s="15">
        <v>57.410600000000002</v>
      </c>
      <c r="H28" s="17">
        <v>3.0151699999999999</v>
      </c>
      <c r="I28" s="14">
        <v>92.699806127554609</v>
      </c>
      <c r="J28" s="14">
        <v>87.037579458125037</v>
      </c>
      <c r="K28" s="17">
        <v>23.465250805591999</v>
      </c>
      <c r="L28" s="14">
        <v>5.8875917693005899</v>
      </c>
      <c r="M28" s="17">
        <v>7.3536539457754726</v>
      </c>
      <c r="N28" s="17">
        <v>3.8536991178213502</v>
      </c>
      <c r="O28" s="17">
        <v>3.0215104082599078</v>
      </c>
      <c r="P28" s="14">
        <v>18.13547139049264</v>
      </c>
      <c r="Q28" s="14">
        <v>6.4402411755143358</v>
      </c>
      <c r="R28" s="17">
        <v>7.3623349604743762</v>
      </c>
      <c r="S28" s="17">
        <v>16.433672164355599</v>
      </c>
      <c r="T28" s="14">
        <v>46.9920378769758</v>
      </c>
      <c r="U28" s="14">
        <v>11.496977701042219</v>
      </c>
      <c r="V28" s="14">
        <v>106.3781891755911</v>
      </c>
      <c r="W28" s="17">
        <v>1.7450164002494439</v>
      </c>
      <c r="X28" s="17">
        <v>3.4178650038181768</v>
      </c>
      <c r="Y28" s="14">
        <v>37.16381111929585</v>
      </c>
      <c r="Z28" s="14">
        <v>90.646023145658816</v>
      </c>
    </row>
    <row r="29" spans="1:26" x14ac:dyDescent="0.3">
      <c r="A29" s="13" t="s">
        <v>399</v>
      </c>
      <c r="B29" s="13" t="s">
        <v>370</v>
      </c>
      <c r="C29" s="13" t="s">
        <v>371</v>
      </c>
      <c r="D29" s="14">
        <v>147.08600000000001</v>
      </c>
      <c r="E29" s="15">
        <v>213.27811934557931</v>
      </c>
      <c r="F29" s="16">
        <v>3.0017900000000002</v>
      </c>
      <c r="G29" s="15">
        <v>80</v>
      </c>
      <c r="H29" s="17">
        <v>2.67</v>
      </c>
      <c r="I29" s="14">
        <v>71.107747652117837</v>
      </c>
      <c r="J29" s="14">
        <v>66.988472832325044</v>
      </c>
      <c r="K29" s="17">
        <v>33.151157289854197</v>
      </c>
      <c r="L29" s="14">
        <v>18.768588027982432</v>
      </c>
      <c r="M29" s="17">
        <v>20.927753335372259</v>
      </c>
      <c r="N29" s="17">
        <v>10.80171310436431</v>
      </c>
      <c r="O29" s="17">
        <v>8.2296695386862755</v>
      </c>
      <c r="P29" s="14">
        <v>92.14516248486828</v>
      </c>
      <c r="Q29" s="14">
        <v>83.404984314483499</v>
      </c>
      <c r="R29" s="17">
        <v>4.7714102928886497</v>
      </c>
      <c r="S29" s="17">
        <v>9.8220521095345408</v>
      </c>
      <c r="T29" s="14">
        <v>63.026239843629483</v>
      </c>
      <c r="U29" s="14">
        <v>9.0600799799560754</v>
      </c>
      <c r="V29" s="14">
        <v>86.239848275722537</v>
      </c>
      <c r="W29" s="17">
        <v>0.68331656032823984</v>
      </c>
      <c r="X29" s="17">
        <v>1.8494296182482659</v>
      </c>
      <c r="Y29" s="14">
        <v>58.013281491485159</v>
      </c>
      <c r="Z29" s="14">
        <v>81.931160996755366</v>
      </c>
    </row>
    <row r="30" spans="1:26" x14ac:dyDescent="0.3">
      <c r="A30" s="13" t="s">
        <v>400</v>
      </c>
      <c r="B30" s="13" t="s">
        <v>370</v>
      </c>
      <c r="C30" s="13" t="s">
        <v>381</v>
      </c>
      <c r="D30" s="14">
        <v>147.81299999999999</v>
      </c>
      <c r="E30" s="15">
        <v>185.63102151403481</v>
      </c>
      <c r="F30" s="16">
        <v>2.61267</v>
      </c>
      <c r="G30" s="15">
        <v>80</v>
      </c>
      <c r="H30" s="17">
        <v>2.67</v>
      </c>
      <c r="I30" s="14">
        <v>79.213286224568549</v>
      </c>
      <c r="J30" s="14">
        <v>74.53295824460821</v>
      </c>
      <c r="K30" s="17">
        <v>29.804894780716602</v>
      </c>
      <c r="L30" s="14">
        <v>12.25750956861382</v>
      </c>
      <c r="M30" s="17">
        <v>18.493551163024438</v>
      </c>
      <c r="N30" s="17">
        <v>8.918390750584976</v>
      </c>
      <c r="O30" s="17">
        <v>6.6242775182688849</v>
      </c>
      <c r="P30" s="14">
        <v>81.198210387842138</v>
      </c>
      <c r="Q30" s="14">
        <v>64.72389836803319</v>
      </c>
      <c r="R30" s="17">
        <v>5.4669250204893292</v>
      </c>
      <c r="S30" s="17">
        <v>11.548005430613831</v>
      </c>
      <c r="T30" s="14">
        <v>57.333793710648997</v>
      </c>
      <c r="U30" s="14">
        <v>9.9722553584427036</v>
      </c>
      <c r="V30" s="14">
        <v>93.027129298190076</v>
      </c>
      <c r="W30" s="17">
        <v>1.0406019977251439</v>
      </c>
      <c r="X30" s="17">
        <v>2.5458919549750099</v>
      </c>
      <c r="Y30" s="14">
        <v>57.99925726911826</v>
      </c>
      <c r="Z30" s="14">
        <v>82.161323923574415</v>
      </c>
    </row>
    <row r="31" spans="1:26" x14ac:dyDescent="0.3">
      <c r="A31" s="13" t="s">
        <v>401</v>
      </c>
      <c r="B31" s="13" t="s">
        <v>370</v>
      </c>
      <c r="C31" s="13" t="s">
        <v>371</v>
      </c>
      <c r="D31" s="14">
        <v>148.749</v>
      </c>
      <c r="E31" s="15">
        <v>196.385907407232</v>
      </c>
      <c r="F31" s="16">
        <v>2.7640400000000001</v>
      </c>
      <c r="G31" s="15">
        <v>80</v>
      </c>
      <c r="H31" s="17">
        <v>2.67</v>
      </c>
      <c r="I31" s="14">
        <v>77.018321250572797</v>
      </c>
      <c r="J31" s="14">
        <v>72.490869246298701</v>
      </c>
      <c r="K31" s="17">
        <v>31.1379913286674</v>
      </c>
      <c r="L31" s="14">
        <v>13.93133955083916</v>
      </c>
      <c r="M31" s="17">
        <v>19.123228554886801</v>
      </c>
      <c r="N31" s="17">
        <v>9.4130374136791097</v>
      </c>
      <c r="O31" s="17">
        <v>7.0597730969132453</v>
      </c>
      <c r="P31" s="14">
        <v>85.911739950530958</v>
      </c>
      <c r="Q31" s="14">
        <v>70.227925115251892</v>
      </c>
      <c r="R31" s="17">
        <v>5.2174826050716039</v>
      </c>
      <c r="S31" s="17">
        <v>10.944244919220351</v>
      </c>
      <c r="T31" s="14">
        <v>59.230076158806128</v>
      </c>
      <c r="U31" s="14">
        <v>9.6666616835432677</v>
      </c>
      <c r="V31" s="14">
        <v>91.426127477702565</v>
      </c>
      <c r="W31" s="17">
        <v>0.95265150175082303</v>
      </c>
      <c r="X31" s="17">
        <v>2.492800661845052</v>
      </c>
      <c r="Y31" s="14">
        <v>58.015408214601557</v>
      </c>
      <c r="Z31" s="14">
        <v>82.348401764269184</v>
      </c>
    </row>
    <row r="32" spans="1:26" x14ac:dyDescent="0.3">
      <c r="A32" s="13" t="s">
        <v>402</v>
      </c>
      <c r="B32" s="13" t="s">
        <v>370</v>
      </c>
      <c r="C32" s="13" t="s">
        <v>371</v>
      </c>
      <c r="D32" s="14">
        <v>148.77099999999999</v>
      </c>
      <c r="E32" s="15">
        <v>142.96104548167381</v>
      </c>
      <c r="F32" s="16">
        <v>2.0121099999999998</v>
      </c>
      <c r="G32" s="15">
        <v>62.714799999999997</v>
      </c>
      <c r="H32" s="17">
        <v>2.9341200000000001</v>
      </c>
      <c r="I32" s="14">
        <v>92.045583716759438</v>
      </c>
      <c r="J32" s="14">
        <v>86.432745731766943</v>
      </c>
      <c r="K32" s="17">
        <v>24.5996512144044</v>
      </c>
      <c r="L32" s="14">
        <v>6.3075738897808904</v>
      </c>
      <c r="M32" s="17">
        <v>8.9822419922222334</v>
      </c>
      <c r="N32" s="17">
        <v>4.4940698788216533</v>
      </c>
      <c r="O32" s="17">
        <v>3.4483852014125178</v>
      </c>
      <c r="P32" s="14">
        <v>28.730065434446111</v>
      </c>
      <c r="Q32" s="14">
        <v>13.89914642417674</v>
      </c>
      <c r="R32" s="17">
        <v>7.0414926407344902</v>
      </c>
      <c r="S32" s="17">
        <v>15.62098533449889</v>
      </c>
      <c r="T32" s="14">
        <v>48.410165540558872</v>
      </c>
      <c r="U32" s="14">
        <v>11.291634241264729</v>
      </c>
      <c r="V32" s="14">
        <v>105.5993052987529</v>
      </c>
      <c r="W32" s="17">
        <v>1.8006872732098671</v>
      </c>
      <c r="X32" s="17">
        <v>3.5508499281305621</v>
      </c>
      <c r="Y32" s="14">
        <v>45.915467087861138</v>
      </c>
      <c r="Z32" s="14">
        <v>87.689434304037206</v>
      </c>
    </row>
    <row r="33" spans="1:26" x14ac:dyDescent="0.3">
      <c r="A33" s="13" t="s">
        <v>403</v>
      </c>
      <c r="B33" s="13" t="s">
        <v>370</v>
      </c>
      <c r="C33" s="13" t="s">
        <v>381</v>
      </c>
      <c r="D33" s="14">
        <v>149.60300000000001</v>
      </c>
      <c r="E33" s="15">
        <v>163.77452419973659</v>
      </c>
      <c r="F33" s="16">
        <v>2.30505</v>
      </c>
      <c r="G33" s="15">
        <v>75.103800000000007</v>
      </c>
      <c r="H33" s="17">
        <v>2.7448100000000002</v>
      </c>
      <c r="I33" s="14">
        <v>86.868480608218704</v>
      </c>
      <c r="J33" s="14">
        <v>81.59491146495094</v>
      </c>
      <c r="K33" s="17">
        <v>27.154527492570701</v>
      </c>
      <c r="L33" s="14">
        <v>8.3937015194304596</v>
      </c>
      <c r="M33" s="17">
        <v>14.44261432563618</v>
      </c>
      <c r="N33" s="17">
        <v>6.7691877245830891</v>
      </c>
      <c r="O33" s="17">
        <v>5.0220971948425488</v>
      </c>
      <c r="P33" s="14">
        <v>60.01764371815932</v>
      </c>
      <c r="Q33" s="14">
        <v>40.525216764674873</v>
      </c>
      <c r="R33" s="17">
        <v>6.2342929996494316</v>
      </c>
      <c r="S33" s="17">
        <v>13.50018792961048</v>
      </c>
      <c r="T33" s="14">
        <v>52.474162276374052</v>
      </c>
      <c r="U33" s="14">
        <v>10.70973798484577</v>
      </c>
      <c r="V33" s="14">
        <v>100.13096476046501</v>
      </c>
      <c r="W33" s="17">
        <v>1.5188813774975829</v>
      </c>
      <c r="X33" s="17">
        <v>3.3083200645297022</v>
      </c>
      <c r="Y33" s="14">
        <v>52.000990121205682</v>
      </c>
      <c r="Z33" s="14">
        <v>83.442180757154645</v>
      </c>
    </row>
    <row r="34" spans="1:26" x14ac:dyDescent="0.3">
      <c r="A34" s="13" t="s">
        <v>404</v>
      </c>
      <c r="B34" s="13" t="s">
        <v>405</v>
      </c>
      <c r="C34" s="13" t="s">
        <v>371</v>
      </c>
      <c r="D34" s="14">
        <v>130</v>
      </c>
      <c r="E34" s="15">
        <v>129.99999999999761</v>
      </c>
      <c r="F34" s="16">
        <v>1.8296893333333</v>
      </c>
      <c r="G34" s="15">
        <v>55</v>
      </c>
      <c r="H34" s="17">
        <v>3.052</v>
      </c>
      <c r="I34" s="14">
        <v>79.595551503623312</v>
      </c>
      <c r="J34" s="14">
        <v>74.986888455519704</v>
      </c>
      <c r="K34" s="17">
        <v>22.876327434123802</v>
      </c>
      <c r="L34" s="14">
        <v>9.3299813918934706</v>
      </c>
      <c r="M34" s="17">
        <v>8.467668408059021</v>
      </c>
      <c r="N34" s="17">
        <v>4.9299502097286254</v>
      </c>
      <c r="O34" s="17">
        <v>4.0877631073656371</v>
      </c>
      <c r="P34" s="14">
        <v>46.496407232868478</v>
      </c>
      <c r="Q34" s="14">
        <v>22.716209468754201</v>
      </c>
      <c r="R34" s="17">
        <v>6.6341394182761206</v>
      </c>
      <c r="S34" s="17">
        <v>14.57712516911397</v>
      </c>
      <c r="T34" s="14">
        <v>50.011919585891178</v>
      </c>
      <c r="U34" s="14">
        <v>11.038351349727909</v>
      </c>
      <c r="V34" s="14">
        <v>91.69462989183468</v>
      </c>
      <c r="W34" s="17"/>
      <c r="X34" s="17"/>
      <c r="Y34" s="14">
        <v>36.666209753071627</v>
      </c>
      <c r="Z34" s="14">
        <v>91.194608888732361</v>
      </c>
    </row>
    <row r="35" spans="1:26" x14ac:dyDescent="0.3">
      <c r="A35" s="13" t="s">
        <v>406</v>
      </c>
      <c r="B35" s="13" t="s">
        <v>405</v>
      </c>
      <c r="C35" s="13" t="s">
        <v>371</v>
      </c>
      <c r="D35" s="14">
        <v>130</v>
      </c>
      <c r="E35" s="15">
        <v>171.9999999999977</v>
      </c>
      <c r="F35" s="16">
        <v>2.4208197333333001</v>
      </c>
      <c r="G35" s="15">
        <v>80</v>
      </c>
      <c r="H35" s="17">
        <v>2.67</v>
      </c>
      <c r="I35" s="14">
        <v>68.279235740032846</v>
      </c>
      <c r="J35" s="14">
        <v>64.384478307093332</v>
      </c>
      <c r="K35" s="17">
        <v>27.852912416703202</v>
      </c>
      <c r="L35" s="14">
        <v>17.852799188930739</v>
      </c>
      <c r="M35" s="17">
        <v>21.85597375372015</v>
      </c>
      <c r="N35" s="17">
        <v>11.08885163767386</v>
      </c>
      <c r="O35" s="17">
        <v>8.3141951396703444</v>
      </c>
      <c r="P35" s="14">
        <v>92.779796864112683</v>
      </c>
      <c r="Q35" s="14">
        <v>84.175954084525657</v>
      </c>
      <c r="R35" s="17">
        <v>5.1223299534377897</v>
      </c>
      <c r="S35" s="17">
        <v>10.532097484859611</v>
      </c>
      <c r="T35" s="14">
        <v>59.650474266278792</v>
      </c>
      <c r="U35" s="14">
        <v>9.6249964179480738</v>
      </c>
      <c r="V35" s="14">
        <v>79.80013172668923</v>
      </c>
      <c r="W35" s="17"/>
      <c r="X35" s="17"/>
      <c r="Y35" s="14">
        <v>57.961321163834967</v>
      </c>
      <c r="Z35" s="14">
        <v>82.184306770038035</v>
      </c>
    </row>
    <row r="36" spans="1:26" x14ac:dyDescent="0.3">
      <c r="A36" s="13" t="s">
        <v>407</v>
      </c>
      <c r="B36" s="13" t="s">
        <v>405</v>
      </c>
      <c r="C36" s="13" t="s">
        <v>371</v>
      </c>
      <c r="D36" s="14">
        <v>130</v>
      </c>
      <c r="E36" s="15">
        <v>216</v>
      </c>
      <c r="F36" s="16">
        <v>3.0400991999999998</v>
      </c>
      <c r="G36" s="15">
        <v>80</v>
      </c>
      <c r="H36" s="17">
        <v>2.67</v>
      </c>
      <c r="I36" s="14">
        <v>56.96485316181861</v>
      </c>
      <c r="J36" s="14">
        <v>53.797039669997048</v>
      </c>
      <c r="K36" s="17">
        <v>32.990825051361398</v>
      </c>
      <c r="L36" s="14">
        <v>34.375796927302673</v>
      </c>
      <c r="M36" s="17">
        <v>26.285569944001949</v>
      </c>
      <c r="N36" s="17">
        <v>15.025766476998569</v>
      </c>
      <c r="O36" s="17">
        <v>11.625608133741331</v>
      </c>
      <c r="P36" s="14">
        <v>95.203340360826942</v>
      </c>
      <c r="Q36" s="14">
        <v>93.325154743254899</v>
      </c>
      <c r="R36" s="17">
        <v>4.1545618264222544</v>
      </c>
      <c r="S36" s="17">
        <v>8.0837691456559799</v>
      </c>
      <c r="T36" s="14">
        <v>69.275418481820864</v>
      </c>
      <c r="U36" s="14">
        <v>8.0747442788708614</v>
      </c>
      <c r="V36" s="14">
        <v>70.4446972522246</v>
      </c>
      <c r="W36" s="17"/>
      <c r="X36" s="17"/>
      <c r="Y36" s="14">
        <v>57.976239571391652</v>
      </c>
      <c r="Z36" s="14">
        <v>82.207993023533163</v>
      </c>
    </row>
    <row r="37" spans="1:26" x14ac:dyDescent="0.3">
      <c r="A37" s="13" t="s">
        <v>408</v>
      </c>
      <c r="B37" s="13" t="s">
        <v>405</v>
      </c>
      <c r="C37" s="13" t="s">
        <v>371</v>
      </c>
      <c r="D37" s="14">
        <v>150</v>
      </c>
      <c r="E37" s="15">
        <v>129.99999999999761</v>
      </c>
      <c r="F37" s="16">
        <v>1.8296893333333</v>
      </c>
      <c r="G37" s="15">
        <v>55</v>
      </c>
      <c r="H37" s="17">
        <v>3.052</v>
      </c>
      <c r="I37" s="14">
        <v>96.942451744900211</v>
      </c>
      <c r="J37" s="14">
        <v>90.938818586319144</v>
      </c>
      <c r="K37" s="17">
        <v>22.9805292988049</v>
      </c>
      <c r="L37" s="14">
        <v>4.9710140690982101</v>
      </c>
      <c r="M37" s="17">
        <v>7.0393268100895243</v>
      </c>
      <c r="N37" s="17">
        <v>3.5116146350934581</v>
      </c>
      <c r="O37" s="17">
        <v>2.6281972058386152</v>
      </c>
      <c r="P37" s="14">
        <v>10.83179247646787</v>
      </c>
      <c r="Q37" s="14">
        <v>2.8045547854549762</v>
      </c>
      <c r="R37" s="17">
        <v>7.7879969202607109</v>
      </c>
      <c r="S37" s="17">
        <v>17.489675071105729</v>
      </c>
      <c r="T37" s="14">
        <v>45.43167801052374</v>
      </c>
      <c r="U37" s="14">
        <v>11.742897830760061</v>
      </c>
      <c r="V37" s="14">
        <v>110.83179314454</v>
      </c>
      <c r="W37" s="17"/>
      <c r="X37" s="17"/>
      <c r="Y37" s="14">
        <v>37.724975442861833</v>
      </c>
      <c r="Z37" s="14">
        <v>91.87235450107022</v>
      </c>
    </row>
    <row r="38" spans="1:26" x14ac:dyDescent="0.3">
      <c r="A38" s="13" t="s">
        <v>409</v>
      </c>
      <c r="B38" s="13" t="s">
        <v>405</v>
      </c>
      <c r="C38" s="13" t="s">
        <v>371</v>
      </c>
      <c r="D38" s="14">
        <v>150</v>
      </c>
      <c r="E38" s="15">
        <v>171.9999999999977</v>
      </c>
      <c r="F38" s="16">
        <v>2.4208197333333001</v>
      </c>
      <c r="G38" s="15">
        <v>80</v>
      </c>
      <c r="H38" s="17">
        <v>2.67</v>
      </c>
      <c r="I38" s="14">
        <v>84.898216774465141</v>
      </c>
      <c r="J38" s="14">
        <v>79.776670689980051</v>
      </c>
      <c r="K38" s="17">
        <v>28.149578378955098</v>
      </c>
      <c r="L38" s="14">
        <v>9.3486141411316002</v>
      </c>
      <c r="M38" s="17">
        <v>17.07164718358511</v>
      </c>
      <c r="N38" s="17">
        <v>7.8840026153164047</v>
      </c>
      <c r="O38" s="17">
        <v>5.7336414746455393</v>
      </c>
      <c r="P38" s="14">
        <v>68.432695388352229</v>
      </c>
      <c r="Q38" s="14">
        <v>50.93999426868163</v>
      </c>
      <c r="R38" s="17">
        <v>5.9740286512777931</v>
      </c>
      <c r="S38" s="17">
        <v>12.79735349492997</v>
      </c>
      <c r="T38" s="14">
        <v>54.017945623092267</v>
      </c>
      <c r="U38" s="14">
        <v>10.48928466221613</v>
      </c>
      <c r="V38" s="14">
        <v>97.958396552937785</v>
      </c>
      <c r="W38" s="17"/>
      <c r="X38" s="17"/>
      <c r="Y38" s="14">
        <v>58.161048078882082</v>
      </c>
      <c r="Z38" s="14">
        <v>83.729748798686785</v>
      </c>
    </row>
    <row r="39" spans="1:26" x14ac:dyDescent="0.3">
      <c r="A39" s="13" t="s">
        <v>410</v>
      </c>
      <c r="B39" s="13" t="s">
        <v>405</v>
      </c>
      <c r="C39" s="13" t="s">
        <v>371</v>
      </c>
      <c r="D39" s="14">
        <v>150</v>
      </c>
      <c r="E39" s="15">
        <v>216</v>
      </c>
      <c r="F39" s="16">
        <v>3.0400991999999998</v>
      </c>
      <c r="G39" s="15">
        <v>80</v>
      </c>
      <c r="H39" s="17">
        <v>2.67</v>
      </c>
      <c r="I39" s="14">
        <v>72.696293867214706</v>
      </c>
      <c r="J39" s="14">
        <v>68.476123248772296</v>
      </c>
      <c r="K39" s="17">
        <v>33.5532717348785</v>
      </c>
      <c r="L39" s="14">
        <v>17.783613999025739</v>
      </c>
      <c r="M39" s="17">
        <v>20.515733215061729</v>
      </c>
      <c r="N39" s="17">
        <v>10.4928009085566</v>
      </c>
      <c r="O39" s="17">
        <v>7.9673849322845376</v>
      </c>
      <c r="P39" s="14">
        <v>91.52002347442324</v>
      </c>
      <c r="Q39" s="14">
        <v>81.484632735768571</v>
      </c>
      <c r="R39" s="17">
        <v>4.8116039331766043</v>
      </c>
      <c r="S39" s="17">
        <v>9.9490106073180833</v>
      </c>
      <c r="T39" s="14">
        <v>62.710674424021313</v>
      </c>
      <c r="U39" s="14">
        <v>9.1063120763546497</v>
      </c>
      <c r="V39" s="14">
        <v>88.114607017584561</v>
      </c>
      <c r="W39" s="17"/>
      <c r="X39" s="17"/>
      <c r="Y39" s="14">
        <v>58.013725960225727</v>
      </c>
      <c r="Z39" s="14">
        <v>83.959002894933207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20" customWidth="1"/>
    <col min="4" max="26" width="12" customWidth="1"/>
  </cols>
  <sheetData>
    <row r="1" spans="1:26" ht="58.05" customHeight="1" x14ac:dyDescent="0.3">
      <c r="A1" s="3" t="s">
        <v>23</v>
      </c>
      <c r="B1" s="3" t="s">
        <v>28</v>
      </c>
      <c r="C1" s="3" t="s">
        <v>31</v>
      </c>
      <c r="D1" s="9" t="s">
        <v>34</v>
      </c>
      <c r="E1" s="9" t="s">
        <v>39</v>
      </c>
      <c r="F1" s="9" t="s">
        <v>43</v>
      </c>
      <c r="G1" s="9" t="s">
        <v>45</v>
      </c>
      <c r="H1" s="9" t="s">
        <v>49</v>
      </c>
      <c r="I1" s="10" t="s">
        <v>52</v>
      </c>
      <c r="J1" s="11" t="s">
        <v>56</v>
      </c>
      <c r="K1" s="11" t="s">
        <v>60</v>
      </c>
      <c r="L1" s="11" t="s">
        <v>64</v>
      </c>
      <c r="M1" s="10" t="s">
        <v>68</v>
      </c>
      <c r="N1" s="10" t="s">
        <v>71</v>
      </c>
      <c r="O1" s="10" t="s">
        <v>74</v>
      </c>
      <c r="P1" s="12" t="s">
        <v>77</v>
      </c>
      <c r="Q1" s="12" t="s">
        <v>82</v>
      </c>
      <c r="R1" s="11" t="s">
        <v>85</v>
      </c>
      <c r="S1" s="11" t="s">
        <v>89</v>
      </c>
      <c r="T1" s="11" t="s">
        <v>92</v>
      </c>
      <c r="U1" s="11" t="s">
        <v>95</v>
      </c>
      <c r="V1" s="12" t="s">
        <v>99</v>
      </c>
      <c r="W1" s="12" t="s">
        <v>102</v>
      </c>
      <c r="X1" s="12" t="s">
        <v>105</v>
      </c>
      <c r="Y1" s="12" t="s">
        <v>108</v>
      </c>
      <c r="Z1" s="12" t="s">
        <v>111</v>
      </c>
    </row>
    <row r="2" spans="1:26" x14ac:dyDescent="0.3">
      <c r="A2" s="13" t="s">
        <v>372</v>
      </c>
      <c r="B2" s="13" t="s">
        <v>370</v>
      </c>
      <c r="C2" s="13" t="s">
        <v>411</v>
      </c>
      <c r="D2" s="14">
        <v>131.08699999999999</v>
      </c>
      <c r="E2" s="15">
        <v>179.03968396820741</v>
      </c>
      <c r="F2" s="16">
        <v>2.5198999999999998</v>
      </c>
      <c r="G2" s="15">
        <v>80</v>
      </c>
      <c r="H2" s="17">
        <v>2.67</v>
      </c>
      <c r="I2" s="14">
        <v>67.537946021853941</v>
      </c>
      <c r="J2" s="14">
        <v>63.554845489775118</v>
      </c>
      <c r="K2" s="17">
        <v>28.716259072916898</v>
      </c>
      <c r="L2" s="14">
        <v>19.08211668689577</v>
      </c>
      <c r="M2" s="17">
        <v>21.547408425034721</v>
      </c>
      <c r="N2" s="17">
        <v>11.124109039055281</v>
      </c>
      <c r="O2" s="17">
        <v>8.4048032617992376</v>
      </c>
      <c r="P2" s="14">
        <v>91.379405540226315</v>
      </c>
      <c r="Q2" s="14">
        <v>85.010846926300118</v>
      </c>
      <c r="R2" s="17">
        <v>4.9744896302223456</v>
      </c>
      <c r="S2" s="17">
        <v>10.207870830861379</v>
      </c>
      <c r="T2" s="14">
        <v>60.792130951618908</v>
      </c>
      <c r="U2" s="14">
        <v>9.3583018034899919</v>
      </c>
      <c r="V2" s="14">
        <v>79.737488764914943</v>
      </c>
      <c r="W2" s="17">
        <v>0.4580088038188545</v>
      </c>
      <c r="X2" s="17">
        <v>1.068484959756244</v>
      </c>
      <c r="Y2" s="14">
        <v>57.978057910230582</v>
      </c>
      <c r="Z2" s="14">
        <v>79.62960520243692</v>
      </c>
    </row>
    <row r="3" spans="1:26" x14ac:dyDescent="0.3">
      <c r="A3" s="13" t="s">
        <v>373</v>
      </c>
      <c r="B3" s="13" t="s">
        <v>370</v>
      </c>
      <c r="C3" s="13" t="s">
        <v>411</v>
      </c>
      <c r="D3" s="14">
        <v>131.512</v>
      </c>
      <c r="E3" s="15">
        <v>207.68645970499909</v>
      </c>
      <c r="F3" s="16">
        <v>2.9230900000000002</v>
      </c>
      <c r="G3" s="15">
        <v>80</v>
      </c>
      <c r="H3" s="17">
        <v>2.67</v>
      </c>
      <c r="I3" s="14">
        <v>60.608320079430541</v>
      </c>
      <c r="J3" s="14">
        <v>57.020039184758097</v>
      </c>
      <c r="K3" s="17">
        <v>32.069976126881102</v>
      </c>
      <c r="L3" s="14">
        <v>28.681126438961279</v>
      </c>
      <c r="M3" s="17">
        <v>23.944324825841839</v>
      </c>
      <c r="N3" s="17">
        <v>13.31899695887935</v>
      </c>
      <c r="O3" s="17">
        <v>10.2532451771296</v>
      </c>
      <c r="P3" s="14">
        <v>91.883012521403558</v>
      </c>
      <c r="Q3" s="14">
        <v>89.069252460882183</v>
      </c>
      <c r="R3" s="17">
        <v>4.3511889593737738</v>
      </c>
      <c r="S3" s="17">
        <v>8.6552717069352489</v>
      </c>
      <c r="T3" s="14">
        <v>66.801744041216992</v>
      </c>
      <c r="U3" s="14">
        <v>8.3533259135143005</v>
      </c>
      <c r="V3" s="14">
        <v>74.45895489028932</v>
      </c>
      <c r="W3" s="17">
        <v>0.32317978231090061</v>
      </c>
      <c r="X3" s="17">
        <v>0.95959405880150517</v>
      </c>
      <c r="Y3" s="14">
        <v>57.970560685781052</v>
      </c>
      <c r="Z3" s="14">
        <v>76.585382917675034</v>
      </c>
    </row>
    <row r="4" spans="1:26" x14ac:dyDescent="0.3">
      <c r="A4" s="13" t="s">
        <v>376</v>
      </c>
      <c r="B4" s="13" t="s">
        <v>370</v>
      </c>
      <c r="C4" s="13" t="s">
        <v>411</v>
      </c>
      <c r="D4" s="14">
        <v>133.62799999999999</v>
      </c>
      <c r="E4" s="15">
        <v>200.3426993434951</v>
      </c>
      <c r="F4" s="16">
        <v>2.8197299999999998</v>
      </c>
      <c r="G4" s="15">
        <v>80</v>
      </c>
      <c r="H4" s="17">
        <v>2.67</v>
      </c>
      <c r="I4" s="14">
        <v>64.049867685645438</v>
      </c>
      <c r="J4" s="14">
        <v>60.298634447831027</v>
      </c>
      <c r="K4" s="17">
        <v>31.2865510062705</v>
      </c>
      <c r="L4" s="14">
        <v>24.031954793763969</v>
      </c>
      <c r="M4" s="17">
        <v>22.701199417398559</v>
      </c>
      <c r="N4" s="17">
        <v>12.217624812780381</v>
      </c>
      <c r="O4" s="17">
        <v>9.3644706030764873</v>
      </c>
      <c r="P4" s="14">
        <v>91.591246691231675</v>
      </c>
      <c r="Q4" s="14">
        <v>87.837035329509845</v>
      </c>
      <c r="R4" s="17">
        <v>4.5713009544226288</v>
      </c>
      <c r="S4" s="17">
        <v>9.2333404190710517</v>
      </c>
      <c r="T4" s="14">
        <v>64.534591431838095</v>
      </c>
      <c r="U4" s="14">
        <v>8.7281152126504331</v>
      </c>
      <c r="V4" s="14">
        <v>77.724565541343978</v>
      </c>
      <c r="W4" s="17">
        <v>0.398508359335914</v>
      </c>
      <c r="X4" s="17">
        <v>1.129271859907832</v>
      </c>
      <c r="Y4" s="14">
        <v>57.983877333269191</v>
      </c>
      <c r="Z4" s="14">
        <v>77.917903140496335</v>
      </c>
    </row>
    <row r="5" spans="1:26" x14ac:dyDescent="0.3">
      <c r="A5" s="13" t="s">
        <v>377</v>
      </c>
      <c r="B5" s="13" t="s">
        <v>370</v>
      </c>
      <c r="C5" s="13" t="s">
        <v>411</v>
      </c>
      <c r="D5" s="14">
        <v>134.15299999999999</v>
      </c>
      <c r="E5" s="15">
        <v>190.2137667086653</v>
      </c>
      <c r="F5" s="16">
        <v>2.6771699999999998</v>
      </c>
      <c r="G5" s="15">
        <v>80</v>
      </c>
      <c r="H5" s="17">
        <v>2.67</v>
      </c>
      <c r="I5" s="14">
        <v>67.110206569716127</v>
      </c>
      <c r="J5" s="14">
        <v>63.134785333909413</v>
      </c>
      <c r="K5" s="17">
        <v>30.104872832237199</v>
      </c>
      <c r="L5" s="14">
        <v>20.345460996235371</v>
      </c>
      <c r="M5" s="17">
        <v>21.70955014006238</v>
      </c>
      <c r="N5" s="17">
        <v>11.350790995887101</v>
      </c>
      <c r="O5" s="17">
        <v>8.6234701268632765</v>
      </c>
      <c r="P5" s="14">
        <v>90.886826365958285</v>
      </c>
      <c r="Q5" s="14">
        <v>85.543976921993874</v>
      </c>
      <c r="R5" s="17">
        <v>4.8174512881803322</v>
      </c>
      <c r="S5" s="17">
        <v>9.8498263745301617</v>
      </c>
      <c r="T5" s="14">
        <v>62.21318289146199</v>
      </c>
      <c r="U5" s="14">
        <v>9.1276178191765638</v>
      </c>
      <c r="V5" s="14">
        <v>80.190988748051495</v>
      </c>
      <c r="W5" s="17">
        <v>0.4691151314265673</v>
      </c>
      <c r="X5" s="17">
        <v>1.2281119577146951</v>
      </c>
      <c r="Y5" s="14">
        <v>57.967820000000003</v>
      </c>
      <c r="Z5" s="14">
        <v>78.048957408616943</v>
      </c>
    </row>
    <row r="6" spans="1:26" x14ac:dyDescent="0.3">
      <c r="A6" s="13" t="s">
        <v>383</v>
      </c>
      <c r="B6" s="13" t="s">
        <v>370</v>
      </c>
      <c r="C6" s="13" t="s">
        <v>411</v>
      </c>
      <c r="D6" s="14">
        <v>137.20599999999999</v>
      </c>
      <c r="E6" s="15">
        <v>214.88101440900351</v>
      </c>
      <c r="F6" s="16">
        <v>3.0243500000000001</v>
      </c>
      <c r="G6" s="15">
        <v>80</v>
      </c>
      <c r="H6" s="17">
        <v>2.67</v>
      </c>
      <c r="I6" s="14">
        <v>63.293280033432502</v>
      </c>
      <c r="J6" s="14">
        <v>59.513193816735402</v>
      </c>
      <c r="K6" s="17">
        <v>33.054285062204499</v>
      </c>
      <c r="L6" s="14">
        <v>26.260241500869601</v>
      </c>
      <c r="M6" s="17">
        <v>23.025968461946459</v>
      </c>
      <c r="N6" s="17">
        <v>12.645905923717629</v>
      </c>
      <c r="O6" s="17">
        <v>9.7530465122580914</v>
      </c>
      <c r="P6" s="14">
        <v>91.413883911079694</v>
      </c>
      <c r="Q6" s="14">
        <v>88.287007351859117</v>
      </c>
      <c r="R6" s="17">
        <v>4.4072303098614674</v>
      </c>
      <c r="S6" s="17">
        <v>8.8416410471676912</v>
      </c>
      <c r="T6" s="14">
        <v>66.287396706025802</v>
      </c>
      <c r="U6" s="14">
        <v>8.4431822425865235</v>
      </c>
      <c r="V6" s="14">
        <v>77.904008770430096</v>
      </c>
      <c r="W6" s="17">
        <v>0.39373233419024428</v>
      </c>
      <c r="X6" s="17">
        <v>1.1511643536545439</v>
      </c>
      <c r="Y6" s="14">
        <v>57.986868336510952</v>
      </c>
      <c r="Z6" s="14">
        <v>76.909529611352255</v>
      </c>
    </row>
    <row r="7" spans="1:26" x14ac:dyDescent="0.3">
      <c r="A7" s="13" t="s">
        <v>404</v>
      </c>
      <c r="B7" s="13" t="s">
        <v>405</v>
      </c>
      <c r="C7" s="13" t="s">
        <v>411</v>
      </c>
      <c r="D7" s="14">
        <v>130</v>
      </c>
      <c r="E7" s="15">
        <v>129.99999999999761</v>
      </c>
      <c r="F7" s="16">
        <v>1.8296893333333</v>
      </c>
      <c r="G7" s="15">
        <v>55</v>
      </c>
      <c r="H7" s="17">
        <v>3.052</v>
      </c>
      <c r="I7" s="14">
        <v>79.69661437121033</v>
      </c>
      <c r="J7" s="14">
        <v>75.050660893294037</v>
      </c>
      <c r="K7" s="17">
        <v>22.8799227506466</v>
      </c>
      <c r="L7" s="14">
        <v>9.3065338451525808</v>
      </c>
      <c r="M7" s="17">
        <v>8.1850026222215746</v>
      </c>
      <c r="N7" s="17">
        <v>4.8203377575513873</v>
      </c>
      <c r="O7" s="17">
        <v>4.0201508075617376</v>
      </c>
      <c r="P7" s="14">
        <v>44.289090502734183</v>
      </c>
      <c r="Q7" s="14">
        <v>20.791945242086651</v>
      </c>
      <c r="R7" s="17">
        <v>6.6317857307435926</v>
      </c>
      <c r="S7" s="17">
        <v>14.587401156716229</v>
      </c>
      <c r="T7" s="14">
        <v>49.953944642459973</v>
      </c>
      <c r="U7" s="14">
        <v>10.967977934942301</v>
      </c>
      <c r="V7" s="14">
        <v>92.097106787183904</v>
      </c>
      <c r="W7" s="17"/>
      <c r="X7" s="17"/>
      <c r="Y7" s="14">
        <v>36.671782443553269</v>
      </c>
      <c r="Z7" s="14">
        <v>91.579299412060806</v>
      </c>
    </row>
    <row r="8" spans="1:26" x14ac:dyDescent="0.3">
      <c r="A8" s="13" t="s">
        <v>406</v>
      </c>
      <c r="B8" s="13" t="s">
        <v>405</v>
      </c>
      <c r="C8" s="13" t="s">
        <v>411</v>
      </c>
      <c r="D8" s="14">
        <v>130</v>
      </c>
      <c r="E8" s="15">
        <v>171.9999999999977</v>
      </c>
      <c r="F8" s="16">
        <v>2.4208197333333001</v>
      </c>
      <c r="G8" s="15">
        <v>80</v>
      </c>
      <c r="H8" s="17">
        <v>2.67</v>
      </c>
      <c r="I8" s="14">
        <v>68.471930457905046</v>
      </c>
      <c r="J8" s="14">
        <v>64.45180409746024</v>
      </c>
      <c r="K8" s="17">
        <v>27.866078797213</v>
      </c>
      <c r="L8" s="14">
        <v>17.806926321312091</v>
      </c>
      <c r="M8" s="17">
        <v>21.21935844533084</v>
      </c>
      <c r="N8" s="17">
        <v>10.82761159910803</v>
      </c>
      <c r="O8" s="17">
        <v>8.1659010535841059</v>
      </c>
      <c r="P8" s="14">
        <v>91.65658052888692</v>
      </c>
      <c r="Q8" s="14">
        <v>82.987513439457132</v>
      </c>
      <c r="R8" s="17">
        <v>5.1179106388209137</v>
      </c>
      <c r="S8" s="17">
        <v>10.549132267653601</v>
      </c>
      <c r="T8" s="14">
        <v>59.589269002308868</v>
      </c>
      <c r="U8" s="14">
        <v>9.5604491637886024</v>
      </c>
      <c r="V8" s="14">
        <v>80.086242724911372</v>
      </c>
      <c r="W8" s="17"/>
      <c r="X8" s="17"/>
      <c r="Y8" s="14">
        <v>57.976839406664062</v>
      </c>
      <c r="Z8" s="14">
        <v>78.960687408367065</v>
      </c>
    </row>
    <row r="9" spans="1:26" x14ac:dyDescent="0.3">
      <c r="A9" s="13" t="s">
        <v>407</v>
      </c>
      <c r="B9" s="13" t="s">
        <v>405</v>
      </c>
      <c r="C9" s="13" t="s">
        <v>411</v>
      </c>
      <c r="D9" s="14">
        <v>130</v>
      </c>
      <c r="E9" s="15">
        <v>216</v>
      </c>
      <c r="F9" s="16">
        <v>3.0400991999999998</v>
      </c>
      <c r="G9" s="15">
        <v>80</v>
      </c>
      <c r="H9" s="17">
        <v>2.67</v>
      </c>
      <c r="I9" s="14">
        <v>57.34896426966975</v>
      </c>
      <c r="J9" s="14">
        <v>53.970940258957739</v>
      </c>
      <c r="K9" s="17">
        <v>32.988419976777813</v>
      </c>
      <c r="L9" s="14">
        <v>34.085517346955278</v>
      </c>
      <c r="M9" s="17">
        <v>25.217183394044941</v>
      </c>
      <c r="N9" s="17">
        <v>14.51804451934888</v>
      </c>
      <c r="O9" s="17">
        <v>11.3001171926169</v>
      </c>
      <c r="P9" s="14">
        <v>92.334067004455036</v>
      </c>
      <c r="Q9" s="14">
        <v>89.754302156353788</v>
      </c>
      <c r="R9" s="17">
        <v>4.1463135385980587</v>
      </c>
      <c r="S9" s="17">
        <v>8.1135424043057736</v>
      </c>
      <c r="T9" s="14">
        <v>69.117327037311142</v>
      </c>
      <c r="U9" s="14">
        <v>7.9533712941374661</v>
      </c>
      <c r="V9" s="14">
        <v>71.26102377959198</v>
      </c>
      <c r="W9" s="17"/>
      <c r="X9" s="17"/>
      <c r="Y9" s="14">
        <v>57.99033672766501</v>
      </c>
      <c r="Z9" s="14">
        <v>76.154440928190056</v>
      </c>
    </row>
    <row r="10" spans="1:26" x14ac:dyDescent="0.3">
      <c r="A10" s="13" t="s">
        <v>408</v>
      </c>
      <c r="B10" s="13" t="s">
        <v>405</v>
      </c>
      <c r="C10" s="13" t="s">
        <v>411</v>
      </c>
      <c r="D10" s="14">
        <v>150</v>
      </c>
      <c r="E10" s="15">
        <v>129.99999999999761</v>
      </c>
      <c r="F10" s="16">
        <v>1.8296893333333</v>
      </c>
      <c r="G10" s="15">
        <v>55</v>
      </c>
      <c r="H10" s="17">
        <v>3.052</v>
      </c>
      <c r="I10" s="14">
        <v>96.945153818791141</v>
      </c>
      <c r="J10" s="14">
        <v>90.93831090691134</v>
      </c>
      <c r="K10" s="17">
        <v>22.977768130019701</v>
      </c>
      <c r="L10" s="14">
        <v>4.9705333266142002</v>
      </c>
      <c r="M10" s="17">
        <v>7.0378225490588973</v>
      </c>
      <c r="N10" s="17">
        <v>3.5130352279183472</v>
      </c>
      <c r="O10" s="17">
        <v>2.6357351979165462</v>
      </c>
      <c r="P10" s="14">
        <v>11.198332974335001</v>
      </c>
      <c r="Q10" s="14">
        <v>2.7109357748761349</v>
      </c>
      <c r="R10" s="17">
        <v>7.7880389035920699</v>
      </c>
      <c r="S10" s="17">
        <v>17.488321116178849</v>
      </c>
      <c r="T10" s="14">
        <v>45.432068533145127</v>
      </c>
      <c r="U10" s="14">
        <v>11.743119767583909</v>
      </c>
      <c r="V10" s="14">
        <v>110.8126032264727</v>
      </c>
      <c r="W10" s="17"/>
      <c r="X10" s="17"/>
      <c r="Y10" s="14">
        <v>37.720572193400521</v>
      </c>
      <c r="Z10" s="14">
        <v>91.086086874223355</v>
      </c>
    </row>
    <row r="11" spans="1:26" x14ac:dyDescent="0.3">
      <c r="A11" s="13" t="s">
        <v>409</v>
      </c>
      <c r="B11" s="13" t="s">
        <v>405</v>
      </c>
      <c r="C11" s="13" t="s">
        <v>411</v>
      </c>
      <c r="D11" s="14">
        <v>150</v>
      </c>
      <c r="E11" s="15">
        <v>171.9999999999977</v>
      </c>
      <c r="F11" s="16">
        <v>2.4208197333333001</v>
      </c>
      <c r="G11" s="15">
        <v>80</v>
      </c>
      <c r="H11" s="17">
        <v>2.67</v>
      </c>
      <c r="I11" s="14">
        <v>85.021856177472046</v>
      </c>
      <c r="J11" s="14">
        <v>79.811982669554709</v>
      </c>
      <c r="K11" s="17">
        <v>28.136476043889399</v>
      </c>
      <c r="L11" s="14">
        <v>9.331082930517411</v>
      </c>
      <c r="M11" s="17">
        <v>16.992636651420209</v>
      </c>
      <c r="N11" s="17">
        <v>7.8529924727757994</v>
      </c>
      <c r="O11" s="17">
        <v>5.7304951296499089</v>
      </c>
      <c r="P11" s="14">
        <v>67.598929083284801</v>
      </c>
      <c r="Q11" s="14">
        <v>50.68075335371983</v>
      </c>
      <c r="R11" s="17">
        <v>5.9740039882358271</v>
      </c>
      <c r="S11" s="17">
        <v>12.79778063447112</v>
      </c>
      <c r="T11" s="14">
        <v>53.990782561880991</v>
      </c>
      <c r="U11" s="14">
        <v>10.515702830617551</v>
      </c>
      <c r="V11" s="14">
        <v>97.935109800595939</v>
      </c>
      <c r="W11" s="17"/>
      <c r="X11" s="17"/>
      <c r="Y11" s="14">
        <v>59.715730581667877</v>
      </c>
      <c r="Z11" s="14">
        <v>79.326564059919704</v>
      </c>
    </row>
    <row r="12" spans="1:26" x14ac:dyDescent="0.3">
      <c r="A12" s="13" t="s">
        <v>410</v>
      </c>
      <c r="B12" s="13" t="s">
        <v>405</v>
      </c>
      <c r="C12" s="13" t="s">
        <v>411</v>
      </c>
      <c r="D12" s="14">
        <v>150</v>
      </c>
      <c r="E12" s="15">
        <v>216</v>
      </c>
      <c r="F12" s="16">
        <v>3.0400991999999998</v>
      </c>
      <c r="G12" s="15">
        <v>80</v>
      </c>
      <c r="H12" s="17">
        <v>2.67</v>
      </c>
      <c r="I12" s="14">
        <v>73.066605227996604</v>
      </c>
      <c r="J12" s="14">
        <v>68.66918108311063</v>
      </c>
      <c r="K12" s="17">
        <v>33.500721014026297</v>
      </c>
      <c r="L12" s="14">
        <v>17.608076292346141</v>
      </c>
      <c r="M12" s="17">
        <v>20.05795721253736</v>
      </c>
      <c r="N12" s="17">
        <v>10.321298342981271</v>
      </c>
      <c r="O12" s="17">
        <v>7.8688187549765232</v>
      </c>
      <c r="P12" s="14">
        <v>88.517772365907632</v>
      </c>
      <c r="Q12" s="14">
        <v>78.786578445865658</v>
      </c>
      <c r="R12" s="17">
        <v>4.8088321746343752</v>
      </c>
      <c r="S12" s="17">
        <v>9.9596659162304562</v>
      </c>
      <c r="T12" s="14">
        <v>62.562168397607202</v>
      </c>
      <c r="U12" s="14">
        <v>9.0872344001967065</v>
      </c>
      <c r="V12" s="14">
        <v>88.632517344486644</v>
      </c>
      <c r="W12" s="17"/>
      <c r="X12" s="17"/>
      <c r="Y12" s="14">
        <v>58.009357115848182</v>
      </c>
      <c r="Z12" s="14">
        <v>77.380167338463565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8" width="13" customWidth="1"/>
  </cols>
  <sheetData>
    <row r="1" spans="1:18" ht="58.05" customHeight="1" x14ac:dyDescent="0.3">
      <c r="A1" s="3" t="s">
        <v>23</v>
      </c>
      <c r="B1" s="9" t="s">
        <v>412</v>
      </c>
      <c r="C1" s="9" t="s">
        <v>39</v>
      </c>
      <c r="D1" s="11" t="s">
        <v>413</v>
      </c>
      <c r="E1" s="11" t="s">
        <v>414</v>
      </c>
      <c r="F1" s="11" t="s">
        <v>415</v>
      </c>
      <c r="G1" s="11" t="s">
        <v>416</v>
      </c>
      <c r="H1" s="11" t="s">
        <v>417</v>
      </c>
      <c r="I1" s="11" t="s">
        <v>418</v>
      </c>
      <c r="J1" s="11" t="s">
        <v>419</v>
      </c>
      <c r="K1" s="11" t="s">
        <v>420</v>
      </c>
      <c r="L1" s="11" t="s">
        <v>421</v>
      </c>
      <c r="M1" s="11" t="s">
        <v>422</v>
      </c>
      <c r="N1" s="11" t="s">
        <v>423</v>
      </c>
      <c r="O1" s="11" t="s">
        <v>424</v>
      </c>
      <c r="P1" s="11" t="s">
        <v>425</v>
      </c>
      <c r="Q1" s="11" t="s">
        <v>426</v>
      </c>
      <c r="R1" s="11" t="s">
        <v>427</v>
      </c>
    </row>
    <row r="2" spans="1:18" x14ac:dyDescent="0.3">
      <c r="A2" s="18" t="s">
        <v>372</v>
      </c>
      <c r="B2" s="19">
        <v>131.08699999999999</v>
      </c>
      <c r="C2" s="20">
        <v>179.03968396820741</v>
      </c>
      <c r="D2" s="21">
        <v>67.253501264670547</v>
      </c>
      <c r="E2" s="21">
        <v>67.537946021853941</v>
      </c>
      <c r="F2" s="21">
        <f t="shared" ref="F2:F12" si="0">D2-E2</f>
        <v>-0.2844447571833939</v>
      </c>
      <c r="G2" s="21">
        <v>63.43979427199605</v>
      </c>
      <c r="H2" s="21">
        <v>63.554845489775118</v>
      </c>
      <c r="I2" s="21">
        <f t="shared" ref="I2:I12" si="1">G2-H2</f>
        <v>-0.11505121777906879</v>
      </c>
      <c r="J2" s="21">
        <v>8.5569500932370079</v>
      </c>
      <c r="K2" s="21">
        <v>8.4048032617992376</v>
      </c>
      <c r="L2" s="21">
        <f t="shared" ref="L2:L12" si="2">J2-K2</f>
        <v>0.1521468314377703</v>
      </c>
      <c r="M2" s="21">
        <v>22.117117429695181</v>
      </c>
      <c r="N2" s="21">
        <v>21.547408425034721</v>
      </c>
      <c r="O2" s="21">
        <f t="shared" ref="O2:O12" si="3">M2-N2</f>
        <v>0.56970900466046004</v>
      </c>
      <c r="P2" s="22">
        <v>4.9766448275321773</v>
      </c>
      <c r="Q2" s="22">
        <v>4.9744896302223456</v>
      </c>
      <c r="R2" s="22">
        <f t="shared" ref="R2:R12" si="4">P2-Q2</f>
        <v>2.1551973098317134E-3</v>
      </c>
    </row>
    <row r="3" spans="1:18" x14ac:dyDescent="0.3">
      <c r="A3" s="18" t="s">
        <v>373</v>
      </c>
      <c r="B3" s="19">
        <v>131.512</v>
      </c>
      <c r="C3" s="20">
        <v>207.68645970499909</v>
      </c>
      <c r="D3" s="21">
        <v>60.162529229183917</v>
      </c>
      <c r="E3" s="21">
        <v>60.608320079430541</v>
      </c>
      <c r="F3" s="21">
        <f t="shared" si="0"/>
        <v>-0.4457908502466239</v>
      </c>
      <c r="G3" s="21">
        <v>56.807371674976309</v>
      </c>
      <c r="H3" s="21">
        <v>57.020039184758097</v>
      </c>
      <c r="I3" s="21">
        <f t="shared" si="1"/>
        <v>-0.21266750978178806</v>
      </c>
      <c r="J3" s="21">
        <v>10.5347120059132</v>
      </c>
      <c r="K3" s="21">
        <v>10.2532451771296</v>
      </c>
      <c r="L3" s="21">
        <f t="shared" si="2"/>
        <v>0.28146682878359996</v>
      </c>
      <c r="M3" s="21">
        <v>24.80392811920342</v>
      </c>
      <c r="N3" s="21">
        <v>23.944324825841839</v>
      </c>
      <c r="O3" s="21">
        <f t="shared" si="3"/>
        <v>0.85960329336158026</v>
      </c>
      <c r="P3" s="22">
        <v>4.3536808140321224</v>
      </c>
      <c r="Q3" s="22">
        <v>4.3511889593737738</v>
      </c>
      <c r="R3" s="22">
        <f t="shared" si="4"/>
        <v>2.4918546583485579E-3</v>
      </c>
    </row>
    <row r="4" spans="1:18" x14ac:dyDescent="0.3">
      <c r="A4" s="18" t="s">
        <v>376</v>
      </c>
      <c r="B4" s="19">
        <v>133.62799999999999</v>
      </c>
      <c r="C4" s="20">
        <v>200.3426993434951</v>
      </c>
      <c r="D4" s="21">
        <v>63.692689132359313</v>
      </c>
      <c r="E4" s="21">
        <v>64.049867685645438</v>
      </c>
      <c r="F4" s="21">
        <f t="shared" si="0"/>
        <v>-0.35717855328612558</v>
      </c>
      <c r="G4" s="21">
        <v>60.107512288948612</v>
      </c>
      <c r="H4" s="21">
        <v>60.298634447831027</v>
      </c>
      <c r="I4" s="21">
        <f t="shared" si="1"/>
        <v>-0.19112215888241479</v>
      </c>
      <c r="J4" s="21">
        <v>9.5739477044132997</v>
      </c>
      <c r="K4" s="21">
        <v>9.3644706030764873</v>
      </c>
      <c r="L4" s="21">
        <f t="shared" si="2"/>
        <v>0.20947710133681241</v>
      </c>
      <c r="M4" s="21">
        <v>23.445419392693719</v>
      </c>
      <c r="N4" s="21">
        <v>22.701199417398559</v>
      </c>
      <c r="O4" s="21">
        <f t="shared" si="3"/>
        <v>0.74421997529515949</v>
      </c>
      <c r="P4" s="22">
        <v>4.5740500258593402</v>
      </c>
      <c r="Q4" s="22">
        <v>4.5713009544226288</v>
      </c>
      <c r="R4" s="22">
        <f t="shared" si="4"/>
        <v>2.7490714367113256E-3</v>
      </c>
    </row>
    <row r="5" spans="1:18" x14ac:dyDescent="0.3">
      <c r="A5" s="18" t="s">
        <v>377</v>
      </c>
      <c r="B5" s="19">
        <v>134.15299999999999</v>
      </c>
      <c r="C5" s="20">
        <v>190.2137667086653</v>
      </c>
      <c r="D5" s="21">
        <v>66.767542435996347</v>
      </c>
      <c r="E5" s="21">
        <v>67.110206569716127</v>
      </c>
      <c r="F5" s="21">
        <f t="shared" si="0"/>
        <v>-0.34266413371977933</v>
      </c>
      <c r="G5" s="21">
        <v>62.980189949980343</v>
      </c>
      <c r="H5" s="21">
        <v>63.134785333909413</v>
      </c>
      <c r="I5" s="21">
        <f t="shared" si="1"/>
        <v>-0.15459538392907035</v>
      </c>
      <c r="J5" s="21">
        <v>8.8031502885295581</v>
      </c>
      <c r="K5" s="21">
        <v>8.6234701268632765</v>
      </c>
      <c r="L5" s="21">
        <f t="shared" si="2"/>
        <v>0.17968016166628153</v>
      </c>
      <c r="M5" s="21">
        <v>22.286930133226779</v>
      </c>
      <c r="N5" s="21">
        <v>21.70955014006238</v>
      </c>
      <c r="O5" s="21">
        <f t="shared" si="3"/>
        <v>0.57737999316439925</v>
      </c>
      <c r="P5" s="22">
        <v>4.8193493283012607</v>
      </c>
      <c r="Q5" s="22">
        <v>4.8174512881803322</v>
      </c>
      <c r="R5" s="22">
        <f t="shared" si="4"/>
        <v>1.8980401209285347E-3</v>
      </c>
    </row>
    <row r="6" spans="1:18" x14ac:dyDescent="0.3">
      <c r="A6" s="18" t="s">
        <v>383</v>
      </c>
      <c r="B6" s="19">
        <v>137.20599999999999</v>
      </c>
      <c r="C6" s="20">
        <v>214.88101440900351</v>
      </c>
      <c r="D6" s="21">
        <v>62.818229716479323</v>
      </c>
      <c r="E6" s="21">
        <v>63.293280033432502</v>
      </c>
      <c r="F6" s="21">
        <f t="shared" si="0"/>
        <v>-0.47505031695317967</v>
      </c>
      <c r="G6" s="21">
        <v>59.268892939479599</v>
      </c>
      <c r="H6" s="21">
        <v>59.513193816735402</v>
      </c>
      <c r="I6" s="21">
        <f t="shared" si="1"/>
        <v>-0.24430087725580307</v>
      </c>
      <c r="J6" s="21">
        <v>9.9738880709152724</v>
      </c>
      <c r="K6" s="21">
        <v>9.7530465122580914</v>
      </c>
      <c r="L6" s="21">
        <f t="shared" si="2"/>
        <v>0.22084155865718103</v>
      </c>
      <c r="M6" s="21">
        <v>23.782646973039519</v>
      </c>
      <c r="N6" s="21">
        <v>23.025968461946459</v>
      </c>
      <c r="O6" s="21">
        <f t="shared" si="3"/>
        <v>0.75667851109306028</v>
      </c>
      <c r="P6" s="22">
        <v>4.4090647180967428</v>
      </c>
      <c r="Q6" s="22">
        <v>4.4072303098614674</v>
      </c>
      <c r="R6" s="22">
        <f t="shared" si="4"/>
        <v>1.8344082352754754E-3</v>
      </c>
    </row>
    <row r="7" spans="1:18" x14ac:dyDescent="0.3">
      <c r="A7" s="18" t="s">
        <v>404</v>
      </c>
      <c r="B7" s="19">
        <v>130</v>
      </c>
      <c r="C7" s="20">
        <v>129.99999999999761</v>
      </c>
      <c r="D7" s="21">
        <v>79.595551503623312</v>
      </c>
      <c r="E7" s="21">
        <v>79.69661437121033</v>
      </c>
      <c r="F7" s="21">
        <f t="shared" si="0"/>
        <v>-0.10106286758701799</v>
      </c>
      <c r="G7" s="21">
        <v>74.986888455519704</v>
      </c>
      <c r="H7" s="21">
        <v>75.050660893294037</v>
      </c>
      <c r="I7" s="21">
        <f t="shared" si="1"/>
        <v>-6.3772437774332502E-2</v>
      </c>
      <c r="J7" s="21">
        <v>4.0877631073656371</v>
      </c>
      <c r="K7" s="21">
        <v>4.0201508075617376</v>
      </c>
      <c r="L7" s="21">
        <f t="shared" si="2"/>
        <v>6.7612299803899489E-2</v>
      </c>
      <c r="M7" s="21">
        <v>8.467668408059021</v>
      </c>
      <c r="N7" s="21">
        <v>8.1850026222215746</v>
      </c>
      <c r="O7" s="21">
        <f t="shared" si="3"/>
        <v>0.28266578583744639</v>
      </c>
      <c r="P7" s="22">
        <v>6.6341394182761206</v>
      </c>
      <c r="Q7" s="22">
        <v>6.6317857307435926</v>
      </c>
      <c r="R7" s="22">
        <f t="shared" si="4"/>
        <v>2.3536875325280704E-3</v>
      </c>
    </row>
    <row r="8" spans="1:18" x14ac:dyDescent="0.3">
      <c r="A8" s="18" t="s">
        <v>406</v>
      </c>
      <c r="B8" s="19">
        <v>130</v>
      </c>
      <c r="C8" s="20">
        <v>171.9999999999977</v>
      </c>
      <c r="D8" s="21">
        <v>68.279235740032846</v>
      </c>
      <c r="E8" s="21">
        <v>68.471930457905046</v>
      </c>
      <c r="F8" s="21">
        <f t="shared" si="0"/>
        <v>-0.19269471787220027</v>
      </c>
      <c r="G8" s="21">
        <v>64.384478307093332</v>
      </c>
      <c r="H8" s="21">
        <v>64.45180409746024</v>
      </c>
      <c r="I8" s="21">
        <f t="shared" si="1"/>
        <v>-6.7325790366908222E-2</v>
      </c>
      <c r="J8" s="21">
        <v>8.3141951396703444</v>
      </c>
      <c r="K8" s="21">
        <v>8.1659010535841059</v>
      </c>
      <c r="L8" s="21">
        <f t="shared" si="2"/>
        <v>0.14829408608623851</v>
      </c>
      <c r="M8" s="21">
        <v>21.85597375372015</v>
      </c>
      <c r="N8" s="21">
        <v>21.21935844533084</v>
      </c>
      <c r="O8" s="21">
        <f t="shared" si="3"/>
        <v>0.63661530838930958</v>
      </c>
      <c r="P8" s="22">
        <v>5.1223299534377897</v>
      </c>
      <c r="Q8" s="22">
        <v>5.1179106388209137</v>
      </c>
      <c r="R8" s="22">
        <f t="shared" si="4"/>
        <v>4.4193146168760578E-3</v>
      </c>
    </row>
    <row r="9" spans="1:18" x14ac:dyDescent="0.3">
      <c r="A9" s="18" t="s">
        <v>407</v>
      </c>
      <c r="B9" s="19">
        <v>130</v>
      </c>
      <c r="C9" s="20">
        <v>216</v>
      </c>
      <c r="D9" s="21">
        <v>56.96485316181861</v>
      </c>
      <c r="E9" s="21">
        <v>57.34896426966975</v>
      </c>
      <c r="F9" s="21">
        <f t="shared" si="0"/>
        <v>-0.38411110785114033</v>
      </c>
      <c r="G9" s="21">
        <v>53.797039669997048</v>
      </c>
      <c r="H9" s="21">
        <v>53.970940258957739</v>
      </c>
      <c r="I9" s="21">
        <f t="shared" si="1"/>
        <v>-0.17390058896069149</v>
      </c>
      <c r="J9" s="21">
        <v>11.625608133741331</v>
      </c>
      <c r="K9" s="21">
        <v>11.3001171926169</v>
      </c>
      <c r="L9" s="21">
        <f t="shared" si="2"/>
        <v>0.32549094112443022</v>
      </c>
      <c r="M9" s="21">
        <v>26.285569944001949</v>
      </c>
      <c r="N9" s="21">
        <v>25.217183394044941</v>
      </c>
      <c r="O9" s="21">
        <f t="shared" si="3"/>
        <v>1.0683865499570082</v>
      </c>
      <c r="P9" s="22">
        <v>4.1545618264222544</v>
      </c>
      <c r="Q9" s="22">
        <v>4.1463135385980587</v>
      </c>
      <c r="R9" s="22">
        <f t="shared" si="4"/>
        <v>8.2482878241956215E-3</v>
      </c>
    </row>
    <row r="10" spans="1:18" x14ac:dyDescent="0.3">
      <c r="A10" s="18" t="s">
        <v>408</v>
      </c>
      <c r="B10" s="19">
        <v>150</v>
      </c>
      <c r="C10" s="20">
        <v>129.99999999999761</v>
      </c>
      <c r="D10" s="21">
        <v>96.942451744900211</v>
      </c>
      <c r="E10" s="21">
        <v>96.945153818791141</v>
      </c>
      <c r="F10" s="21">
        <f t="shared" si="0"/>
        <v>-2.7020738909300235E-3</v>
      </c>
      <c r="G10" s="21">
        <v>90.938818586319144</v>
      </c>
      <c r="H10" s="21">
        <v>90.93831090691134</v>
      </c>
      <c r="I10" s="21">
        <f t="shared" si="1"/>
        <v>5.0767940780360732E-4</v>
      </c>
      <c r="J10" s="21">
        <v>2.6281972058386152</v>
      </c>
      <c r="K10" s="21">
        <v>2.6357351979165462</v>
      </c>
      <c r="L10" s="21">
        <f t="shared" si="2"/>
        <v>-7.5379920779310439E-3</v>
      </c>
      <c r="M10" s="21">
        <v>7.0393268100895243</v>
      </c>
      <c r="N10" s="21">
        <v>7.0378225490588973</v>
      </c>
      <c r="O10" s="21">
        <f t="shared" si="3"/>
        <v>1.5042610306270632E-3</v>
      </c>
      <c r="P10" s="22">
        <v>7.7879969202607109</v>
      </c>
      <c r="Q10" s="22">
        <v>7.7880389035920699</v>
      </c>
      <c r="R10" s="22">
        <f t="shared" si="4"/>
        <v>-4.1983331358963483E-5</v>
      </c>
    </row>
    <row r="11" spans="1:18" x14ac:dyDescent="0.3">
      <c r="A11" s="18" t="s">
        <v>409</v>
      </c>
      <c r="B11" s="19">
        <v>150</v>
      </c>
      <c r="C11" s="20">
        <v>171.9999999999977</v>
      </c>
      <c r="D11" s="21">
        <v>84.898216774465141</v>
      </c>
      <c r="E11" s="21">
        <v>85.021856177472046</v>
      </c>
      <c r="F11" s="21">
        <f t="shared" si="0"/>
        <v>-0.12363940300690501</v>
      </c>
      <c r="G11" s="21">
        <v>79.776670689980051</v>
      </c>
      <c r="H11" s="21">
        <v>79.811982669554709</v>
      </c>
      <c r="I11" s="21">
        <f t="shared" si="1"/>
        <v>-3.5311979574657926E-2</v>
      </c>
      <c r="J11" s="21">
        <v>5.7336414746455393</v>
      </c>
      <c r="K11" s="21">
        <v>5.7304951296499089</v>
      </c>
      <c r="L11" s="21">
        <f t="shared" si="2"/>
        <v>3.1463449956303791E-3</v>
      </c>
      <c r="M11" s="21">
        <v>17.07164718358511</v>
      </c>
      <c r="N11" s="21">
        <v>16.992636651420209</v>
      </c>
      <c r="O11" s="21">
        <f t="shared" si="3"/>
        <v>7.9010532164900837E-2</v>
      </c>
      <c r="P11" s="22">
        <v>5.9740286512777931</v>
      </c>
      <c r="Q11" s="22">
        <v>5.9740039882358271</v>
      </c>
      <c r="R11" s="22">
        <f t="shared" si="4"/>
        <v>2.4663041966022092E-5</v>
      </c>
    </row>
    <row r="12" spans="1:18" x14ac:dyDescent="0.3">
      <c r="A12" s="18" t="s">
        <v>410</v>
      </c>
      <c r="B12" s="19">
        <v>150</v>
      </c>
      <c r="C12" s="20">
        <v>216</v>
      </c>
      <c r="D12" s="21">
        <v>72.696293867214706</v>
      </c>
      <c r="E12" s="21">
        <v>73.066605227996604</v>
      </c>
      <c r="F12" s="21">
        <f t="shared" si="0"/>
        <v>-0.37031136078189775</v>
      </c>
      <c r="G12" s="21">
        <v>68.476123248772296</v>
      </c>
      <c r="H12" s="21">
        <v>68.66918108311063</v>
      </c>
      <c r="I12" s="21">
        <f t="shared" si="1"/>
        <v>-0.19305783433833312</v>
      </c>
      <c r="J12" s="21">
        <v>7.9673849322845376</v>
      </c>
      <c r="K12" s="21">
        <v>7.8688187549765232</v>
      </c>
      <c r="L12" s="21">
        <f t="shared" si="2"/>
        <v>9.8566177308014424E-2</v>
      </c>
      <c r="M12" s="21">
        <v>20.515733215061729</v>
      </c>
      <c r="N12" s="21">
        <v>20.05795721253736</v>
      </c>
      <c r="O12" s="21">
        <f t="shared" si="3"/>
        <v>0.45777600252436912</v>
      </c>
      <c r="P12" s="22">
        <v>4.8116039331766043</v>
      </c>
      <c r="Q12" s="22">
        <v>4.8088321746343752</v>
      </c>
      <c r="R12" s="22">
        <f t="shared" si="4"/>
        <v>2.771758542229108E-3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O5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sheetData>
    <row r="1" spans="1:119" x14ac:dyDescent="0.3">
      <c r="A1" s="23" t="s">
        <v>115</v>
      </c>
      <c r="B1" s="23" t="s">
        <v>118</v>
      </c>
      <c r="C1" s="23" t="s">
        <v>120</v>
      </c>
      <c r="D1" s="23" t="s">
        <v>122</v>
      </c>
      <c r="E1" s="23" t="s">
        <v>127</v>
      </c>
      <c r="F1" s="23" t="s">
        <v>130</v>
      </c>
      <c r="G1" s="23" t="s">
        <v>132</v>
      </c>
      <c r="H1" s="23" t="s">
        <v>136</v>
      </c>
      <c r="I1" s="23" t="s">
        <v>139</v>
      </c>
      <c r="J1" s="23" t="s">
        <v>140</v>
      </c>
      <c r="K1" s="23" t="s">
        <v>144</v>
      </c>
      <c r="L1" s="23" t="s">
        <v>146</v>
      </c>
      <c r="M1" s="23" t="s">
        <v>150</v>
      </c>
      <c r="N1" s="23" t="s">
        <v>154</v>
      </c>
      <c r="O1" s="23" t="s">
        <v>156</v>
      </c>
      <c r="P1" s="23" t="s">
        <v>157</v>
      </c>
      <c r="Q1" s="23" t="s">
        <v>160</v>
      </c>
      <c r="R1" s="23" t="s">
        <v>162</v>
      </c>
      <c r="S1" s="23" t="s">
        <v>164</v>
      </c>
      <c r="T1" s="23" t="s">
        <v>166</v>
      </c>
      <c r="U1" s="23" t="s">
        <v>168</v>
      </c>
      <c r="V1" s="23" t="s">
        <v>170</v>
      </c>
      <c r="W1" s="23" t="s">
        <v>173</v>
      </c>
      <c r="X1" s="23" t="s">
        <v>176</v>
      </c>
      <c r="Y1" s="23" t="s">
        <v>178</v>
      </c>
      <c r="Z1" s="23" t="s">
        <v>180</v>
      </c>
      <c r="AA1" s="23" t="s">
        <v>182</v>
      </c>
      <c r="AB1" s="23" t="s">
        <v>184</v>
      </c>
      <c r="AC1" s="23" t="s">
        <v>186</v>
      </c>
      <c r="AD1" s="23" t="s">
        <v>188</v>
      </c>
      <c r="AE1" s="23" t="s">
        <v>191</v>
      </c>
      <c r="AF1" s="23" t="s">
        <v>194</v>
      </c>
      <c r="AG1" s="23" t="s">
        <v>196</v>
      </c>
      <c r="AH1" s="23" t="s">
        <v>200</v>
      </c>
      <c r="AI1" s="23" t="s">
        <v>202</v>
      </c>
      <c r="AJ1" s="23" t="s">
        <v>203</v>
      </c>
      <c r="AK1" s="23" t="s">
        <v>205</v>
      </c>
      <c r="AL1" s="23" t="s">
        <v>206</v>
      </c>
      <c r="AM1" s="23" t="s">
        <v>210</v>
      </c>
      <c r="AN1" s="23" t="s">
        <v>212</v>
      </c>
      <c r="AO1" s="23" t="s">
        <v>213</v>
      </c>
      <c r="AP1" s="23" t="s">
        <v>214</v>
      </c>
      <c r="AQ1" s="23" t="s">
        <v>216</v>
      </c>
      <c r="AR1" s="23" t="s">
        <v>218</v>
      </c>
      <c r="AS1" s="23" t="s">
        <v>220</v>
      </c>
      <c r="AT1" s="23" t="s">
        <v>221</v>
      </c>
      <c r="AU1" s="23" t="s">
        <v>224</v>
      </c>
      <c r="AV1" s="23" t="s">
        <v>226</v>
      </c>
      <c r="AW1" s="23" t="s">
        <v>229</v>
      </c>
      <c r="AX1" s="23" t="s">
        <v>230</v>
      </c>
      <c r="AY1" s="23" t="s">
        <v>231</v>
      </c>
      <c r="AZ1" s="23" t="s">
        <v>233</v>
      </c>
      <c r="BA1" s="23" t="s">
        <v>235</v>
      </c>
      <c r="BB1" s="23" t="s">
        <v>237</v>
      </c>
      <c r="BC1" s="23" t="s">
        <v>239</v>
      </c>
      <c r="BD1" s="23" t="s">
        <v>241</v>
      </c>
      <c r="BE1" s="23" t="s">
        <v>243</v>
      </c>
      <c r="BF1" s="23" t="s">
        <v>245</v>
      </c>
      <c r="BG1" s="23" t="s">
        <v>247</v>
      </c>
      <c r="BH1" s="23" t="s">
        <v>248</v>
      </c>
      <c r="BI1" s="23" t="s">
        <v>250</v>
      </c>
      <c r="BJ1" s="23" t="s">
        <v>252</v>
      </c>
      <c r="BK1" s="23" t="s">
        <v>254</v>
      </c>
      <c r="BL1" s="23" t="s">
        <v>256</v>
      </c>
      <c r="BM1" s="23" t="s">
        <v>258</v>
      </c>
      <c r="BN1" s="23" t="s">
        <v>260</v>
      </c>
      <c r="BO1" s="23" t="s">
        <v>262</v>
      </c>
      <c r="BP1" s="23" t="s">
        <v>264</v>
      </c>
      <c r="BQ1" s="23" t="s">
        <v>265</v>
      </c>
      <c r="BR1" s="23" t="s">
        <v>267</v>
      </c>
      <c r="BS1" s="23" t="s">
        <v>269</v>
      </c>
      <c r="BT1" s="23" t="s">
        <v>271</v>
      </c>
      <c r="BU1" s="23" t="s">
        <v>273</v>
      </c>
      <c r="BV1" s="23" t="s">
        <v>275</v>
      </c>
      <c r="BW1" s="23" t="s">
        <v>277</v>
      </c>
      <c r="BX1" s="23" t="s">
        <v>279</v>
      </c>
      <c r="BY1" s="23" t="s">
        <v>281</v>
      </c>
      <c r="BZ1" s="23" t="s">
        <v>283</v>
      </c>
      <c r="CA1" s="23" t="s">
        <v>285</v>
      </c>
      <c r="CB1" s="23" t="s">
        <v>287</v>
      </c>
      <c r="CC1" s="23" t="s">
        <v>289</v>
      </c>
      <c r="CD1" s="23" t="s">
        <v>291</v>
      </c>
      <c r="CE1" s="23" t="s">
        <v>293</v>
      </c>
      <c r="CF1" s="23" t="s">
        <v>295</v>
      </c>
      <c r="CG1" s="23" t="s">
        <v>297</v>
      </c>
      <c r="CH1" s="23" t="s">
        <v>301</v>
      </c>
      <c r="CI1" s="23" t="s">
        <v>302</v>
      </c>
      <c r="CJ1" s="23" t="s">
        <v>304</v>
      </c>
      <c r="CK1" s="23" t="s">
        <v>306</v>
      </c>
      <c r="CL1" s="23" t="s">
        <v>308</v>
      </c>
      <c r="CM1" s="23" t="s">
        <v>310</v>
      </c>
      <c r="CN1" s="23" t="s">
        <v>312</v>
      </c>
      <c r="CO1" s="23" t="s">
        <v>314</v>
      </c>
      <c r="CP1" s="23" t="s">
        <v>316</v>
      </c>
      <c r="CQ1" s="23" t="s">
        <v>318</v>
      </c>
      <c r="CR1" s="23" t="s">
        <v>320</v>
      </c>
      <c r="CS1" s="23" t="s">
        <v>322</v>
      </c>
      <c r="CT1" s="23" t="s">
        <v>324</v>
      </c>
      <c r="CU1" s="23" t="s">
        <v>326</v>
      </c>
      <c r="CV1" s="23" t="s">
        <v>328</v>
      </c>
      <c r="CW1" s="23" t="s">
        <v>330</v>
      </c>
      <c r="CX1" s="23" t="s">
        <v>332</v>
      </c>
      <c r="CY1" s="23" t="s">
        <v>334</v>
      </c>
      <c r="CZ1" s="23" t="s">
        <v>337</v>
      </c>
      <c r="DA1" s="23" t="s">
        <v>339</v>
      </c>
      <c r="DB1" s="23" t="s">
        <v>341</v>
      </c>
      <c r="DC1" s="23" t="s">
        <v>343</v>
      </c>
      <c r="DD1" s="23" t="s">
        <v>345</v>
      </c>
      <c r="DE1" s="23" t="s">
        <v>347</v>
      </c>
      <c r="DF1" s="23" t="s">
        <v>349</v>
      </c>
      <c r="DG1" s="23" t="s">
        <v>350</v>
      </c>
      <c r="DH1" s="23" t="s">
        <v>352</v>
      </c>
      <c r="DI1" s="23" t="s">
        <v>354</v>
      </c>
      <c r="DJ1" s="23" t="s">
        <v>356</v>
      </c>
      <c r="DK1" s="23" t="s">
        <v>357</v>
      </c>
      <c r="DL1" s="23" t="s">
        <v>359</v>
      </c>
      <c r="DM1" s="23" t="s">
        <v>361</v>
      </c>
      <c r="DN1" s="23" t="s">
        <v>363</v>
      </c>
      <c r="DO1" s="23" t="s">
        <v>365</v>
      </c>
    </row>
    <row r="2" spans="1:119" x14ac:dyDescent="0.3">
      <c r="A2" s="24" t="s">
        <v>387</v>
      </c>
      <c r="B2" s="24" t="s">
        <v>428</v>
      </c>
      <c r="C2" s="24" t="s">
        <v>429</v>
      </c>
      <c r="D2" s="24">
        <v>6.0000000000000001E-3</v>
      </c>
      <c r="E2" s="24">
        <v>6.8373699999999999E-5</v>
      </c>
      <c r="F2" s="24">
        <v>2.14591E-3</v>
      </c>
      <c r="G2" s="24">
        <v>8.75</v>
      </c>
      <c r="H2" s="24">
        <v>7.4999999999999997E-2</v>
      </c>
      <c r="I2" s="24">
        <v>2.8476499999999998</v>
      </c>
      <c r="J2" s="24">
        <v>293.14999999999998</v>
      </c>
      <c r="K2" s="24">
        <v>413.03800000000001</v>
      </c>
      <c r="L2" s="24">
        <v>80</v>
      </c>
      <c r="M2" s="24">
        <v>0.3</v>
      </c>
      <c r="N2" s="24">
        <v>9.6249269185140707E-2</v>
      </c>
      <c r="O2" s="24">
        <v>2.5692742597167501E-2</v>
      </c>
      <c r="P2" s="24">
        <v>23.416524837195709</v>
      </c>
      <c r="Q2" s="24">
        <v>37.322103875013561</v>
      </c>
      <c r="R2" s="24">
        <v>44.284888141907672</v>
      </c>
      <c r="S2" s="24">
        <v>72.277093130237034</v>
      </c>
      <c r="T2" s="24">
        <v>53.122850720131893</v>
      </c>
      <c r="U2" s="24">
        <v>2.630471275084449</v>
      </c>
      <c r="V2" s="24">
        <v>368.58501989269809</v>
      </c>
      <c r="W2" s="24">
        <v>7.3529115580083104</v>
      </c>
      <c r="X2" s="24">
        <v>6.059419672267043</v>
      </c>
      <c r="Y2" s="24">
        <v>7.135568030827165</v>
      </c>
      <c r="Z2" s="24">
        <v>8.7843267095687629</v>
      </c>
      <c r="AA2" s="24">
        <v>5.5692891289810004E-4</v>
      </c>
      <c r="AB2" s="24">
        <v>1.1033237373541791</v>
      </c>
      <c r="AC2" s="24">
        <v>6.3056970905858867</v>
      </c>
      <c r="AD2" s="24">
        <v>4.7293661733798533</v>
      </c>
      <c r="AE2" s="24">
        <v>4</v>
      </c>
      <c r="AF2" s="24">
        <v>0.13489862425150381</v>
      </c>
      <c r="AG2" s="24">
        <v>2.5049160952538899E-2</v>
      </c>
      <c r="AH2" s="24">
        <v>62.339821969210313</v>
      </c>
      <c r="AI2" s="24">
        <v>41.020796579826083</v>
      </c>
      <c r="AJ2" s="24">
        <v>1.0092278832436019</v>
      </c>
      <c r="AK2" s="24">
        <v>2.001049428872903</v>
      </c>
      <c r="AL2" s="24">
        <v>5.2852605357661702</v>
      </c>
      <c r="AM2" s="24">
        <v>41.366306753835161</v>
      </c>
      <c r="AN2" s="24">
        <v>52.517272069169962</v>
      </c>
      <c r="AO2" s="24">
        <v>86.283924330667176</v>
      </c>
      <c r="AP2" s="24">
        <v>41.366306753835161</v>
      </c>
      <c r="AQ2" s="24">
        <v>47.358923851477343</v>
      </c>
      <c r="AR2" s="24">
        <v>0.59678497866167768</v>
      </c>
      <c r="AS2" s="24">
        <v>10.67798441602581</v>
      </c>
      <c r="AT2" s="24">
        <v>99.956174416819678</v>
      </c>
      <c r="AU2" s="24">
        <v>2.439008522850687</v>
      </c>
      <c r="AV2" s="24">
        <v>9.0924203260437384</v>
      </c>
      <c r="AW2" s="24">
        <v>13.42049971006244</v>
      </c>
      <c r="AX2" s="24">
        <v>6.193207118599009</v>
      </c>
      <c r="AY2" s="24">
        <v>6.0747070117795143</v>
      </c>
      <c r="AZ2" s="24">
        <v>8.9176038112119365</v>
      </c>
      <c r="BA2" s="24">
        <v>94.353034052413406</v>
      </c>
      <c r="BB2" s="24">
        <v>122.4536332985317</v>
      </c>
      <c r="BC2" s="24">
        <v>4.9784870250787847</v>
      </c>
      <c r="BD2" s="24">
        <v>8.7844090229115732</v>
      </c>
      <c r="BE2" s="24">
        <v>23.44597130540804</v>
      </c>
      <c r="BF2" s="24">
        <v>39.1445545286143</v>
      </c>
      <c r="BG2" s="24">
        <v>52.572903981511892</v>
      </c>
      <c r="BH2" s="24">
        <v>72.320167788288984</v>
      </c>
      <c r="BI2" s="24">
        <v>55.143000060445743</v>
      </c>
      <c r="BJ2" s="24">
        <v>2.6791568002136632</v>
      </c>
      <c r="BK2" s="24">
        <v>7.4690380471123836</v>
      </c>
      <c r="BL2" s="24">
        <v>6.1075834732940102</v>
      </c>
      <c r="BM2" s="24">
        <v>7.199695481331001</v>
      </c>
      <c r="BN2" s="24">
        <v>8.9397114967637794</v>
      </c>
      <c r="BO2" s="24">
        <v>0.92964612531330482</v>
      </c>
      <c r="BP2" s="24">
        <v>4.9784870250787847</v>
      </c>
      <c r="BQ2" s="24">
        <v>42.883501110862277</v>
      </c>
      <c r="BR2" s="24">
        <v>56.500136116080618</v>
      </c>
      <c r="BS2" s="24">
        <v>62.523770348153519</v>
      </c>
      <c r="BT2" s="24">
        <v>82.061246064518002</v>
      </c>
      <c r="BU2" s="24">
        <v>67.548395293584079</v>
      </c>
      <c r="BV2" s="24">
        <v>4.1500326401453123</v>
      </c>
      <c r="BW2" s="24">
        <v>360.69656938856468</v>
      </c>
      <c r="BX2" s="24">
        <v>8.1995567056704495</v>
      </c>
      <c r="BY2" s="24">
        <v>6.411591027048904</v>
      </c>
      <c r="BZ2" s="24">
        <v>7.8272637333411437</v>
      </c>
      <c r="CA2" s="24">
        <v>9.2731095250847595</v>
      </c>
      <c r="CB2" s="24">
        <v>8.6844092798776595E-5</v>
      </c>
      <c r="CC2" s="24">
        <v>0.62660560512427155</v>
      </c>
      <c r="CD2" s="24">
        <v>4.6216142350003562</v>
      </c>
      <c r="CE2" s="24">
        <v>6.5456353286742548</v>
      </c>
      <c r="CF2" s="24">
        <v>350.07609286171351</v>
      </c>
      <c r="CG2" s="24">
        <v>351.57272711405108</v>
      </c>
      <c r="CH2" s="24">
        <v>354.90882204683459</v>
      </c>
      <c r="CI2" s="24">
        <v>351.08386734036981</v>
      </c>
      <c r="CJ2" s="24">
        <v>351.49261493964451</v>
      </c>
      <c r="CK2" s="24">
        <v>351.57272711405108</v>
      </c>
      <c r="CL2" s="24">
        <v>351.89739447989001</v>
      </c>
      <c r="CM2" s="24">
        <v>352.60653261961721</v>
      </c>
      <c r="CN2" s="24">
        <v>353.35894770254481</v>
      </c>
      <c r="CO2" s="24">
        <v>354.19579538567592</v>
      </c>
      <c r="CP2" s="24">
        <v>354.55859317424591</v>
      </c>
      <c r="CQ2" s="24">
        <v>355.15858474808113</v>
      </c>
      <c r="CR2" s="24">
        <v>356.32674819923199</v>
      </c>
      <c r="CS2" s="24">
        <v>357.90871504690722</v>
      </c>
      <c r="CT2" s="24">
        <v>358.81951480080579</v>
      </c>
      <c r="CU2" s="24">
        <v>361.04697739616478</v>
      </c>
      <c r="CV2" s="24">
        <v>373.58161225931087</v>
      </c>
      <c r="CW2" s="24">
        <v>403.32532649965702</v>
      </c>
      <c r="CX2" s="24">
        <v>408.82123681887168</v>
      </c>
      <c r="CY2" s="24">
        <v>5.0584397156554086</v>
      </c>
      <c r="CZ2" s="24">
        <v>5.1212505708101288</v>
      </c>
      <c r="DA2" s="24">
        <v>5.1384516549431103</v>
      </c>
      <c r="DB2" s="24">
        <v>5.2289071494399444</v>
      </c>
      <c r="DC2" s="24">
        <v>5.4520309590740741</v>
      </c>
      <c r="DD2" s="24">
        <v>5.7566812601303319</v>
      </c>
      <c r="DE2" s="24">
        <v>6.1951786890478173</v>
      </c>
      <c r="DF2" s="24">
        <v>6.4303063334094359</v>
      </c>
      <c r="DG2" s="24">
        <v>6.8831489219390152</v>
      </c>
      <c r="DH2" s="24">
        <v>8.0975730753072295</v>
      </c>
      <c r="DI2" s="24">
        <v>10.718228423559889</v>
      </c>
      <c r="DJ2" s="24">
        <v>12.767436797383841</v>
      </c>
      <c r="DK2" s="24">
        <v>18.444681464427489</v>
      </c>
      <c r="DL2" s="24">
        <v>37.122883579931568</v>
      </c>
      <c r="DM2" s="24">
        <v>60.115502289015687</v>
      </c>
      <c r="DN2" s="24">
        <v>65.446784699843263</v>
      </c>
      <c r="DO2" s="24">
        <v>970.88722545451401</v>
      </c>
    </row>
    <row r="3" spans="1:119" x14ac:dyDescent="0.3">
      <c r="A3" s="24" t="s">
        <v>382</v>
      </c>
      <c r="B3" s="24" t="s">
        <v>428</v>
      </c>
      <c r="C3" s="24" t="s">
        <v>429</v>
      </c>
      <c r="D3" s="24">
        <v>6.0000000000000001E-3</v>
      </c>
      <c r="E3" s="24">
        <v>7.1907400000000002E-5</v>
      </c>
      <c r="F3" s="24">
        <v>2.2294699999999999E-3</v>
      </c>
      <c r="G3" s="24">
        <v>8.75</v>
      </c>
      <c r="H3" s="24">
        <v>7.4999999999999997E-2</v>
      </c>
      <c r="I3" s="24">
        <v>2.79366</v>
      </c>
      <c r="J3" s="24">
        <v>293.14999999999998</v>
      </c>
      <c r="K3" s="24">
        <v>409.733</v>
      </c>
      <c r="L3" s="24">
        <v>80</v>
      </c>
      <c r="M3" s="24">
        <v>0.3</v>
      </c>
      <c r="N3" s="24">
        <v>0.1171115109711128</v>
      </c>
      <c r="O3" s="24">
        <v>2.6363726201858201E-2</v>
      </c>
      <c r="P3" s="24">
        <v>22.6899585570726</v>
      </c>
      <c r="Q3" s="24">
        <v>38.814993474324709</v>
      </c>
      <c r="R3" s="24">
        <v>51.455932810931053</v>
      </c>
      <c r="S3" s="24">
        <v>70.857783993310278</v>
      </c>
      <c r="T3" s="24">
        <v>55.662817873838698</v>
      </c>
      <c r="U3" s="24">
        <v>2.6003452809645862</v>
      </c>
      <c r="V3" s="24">
        <v>364.25020026672507</v>
      </c>
      <c r="W3" s="24">
        <v>7.2660258602817418</v>
      </c>
      <c r="X3" s="24">
        <v>5.9707907868347609</v>
      </c>
      <c r="Y3" s="24">
        <v>7.1218973261505889</v>
      </c>
      <c r="Z3" s="24">
        <v>8.5753814611440902</v>
      </c>
      <c r="AA3" s="24">
        <v>5.7997913217260001E-4</v>
      </c>
      <c r="AB3" s="24">
        <v>0.93609857610054137</v>
      </c>
      <c r="AC3" s="24">
        <v>5.614550293505018</v>
      </c>
      <c r="AD3" s="24">
        <v>5.5679332970342053</v>
      </c>
      <c r="AE3" s="24">
        <v>4</v>
      </c>
      <c r="AF3" s="24">
        <v>0.13285947616030999</v>
      </c>
      <c r="AG3" s="24">
        <v>2.5686533466473298E-2</v>
      </c>
      <c r="AH3" s="24">
        <v>77.582942824230486</v>
      </c>
      <c r="AI3" s="24">
        <v>58.69544315094992</v>
      </c>
      <c r="AJ3" s="24">
        <v>0.78181231763023717</v>
      </c>
      <c r="AK3" s="24">
        <v>1.608102289251967</v>
      </c>
      <c r="AL3" s="24">
        <v>5.4647413381007492</v>
      </c>
      <c r="AM3" s="24">
        <v>43.851424147519182</v>
      </c>
      <c r="AN3" s="24">
        <v>54.682928438329242</v>
      </c>
      <c r="AO3" s="24">
        <v>86.414977012178369</v>
      </c>
      <c r="AP3" s="24">
        <v>43.851424147519182</v>
      </c>
      <c r="AQ3" s="24">
        <v>45.182108996875769</v>
      </c>
      <c r="AR3" s="24">
        <v>0.60467022635484868</v>
      </c>
      <c r="AS3" s="24">
        <v>10.3617966292502</v>
      </c>
      <c r="AT3" s="24">
        <v>99.098403006532635</v>
      </c>
      <c r="AU3" s="24">
        <v>2.5586233410288548</v>
      </c>
      <c r="AV3" s="24">
        <v>8.8417659721669981</v>
      </c>
      <c r="AW3" s="24">
        <v>12.440423328195619</v>
      </c>
      <c r="AX3" s="24">
        <v>5.8246777899397726</v>
      </c>
      <c r="AY3" s="24">
        <v>5.279333242786004</v>
      </c>
      <c r="AZ3" s="24">
        <v>8.3783998892126146</v>
      </c>
      <c r="BA3" s="24">
        <v>89.743517311661336</v>
      </c>
      <c r="BB3" s="24">
        <v>118.2646264406102</v>
      </c>
      <c r="BC3" s="24">
        <v>5.8936279760591166</v>
      </c>
      <c r="BD3" s="24">
        <v>10.472474969783921</v>
      </c>
      <c r="BE3" s="24">
        <v>23.26180467127266</v>
      </c>
      <c r="BF3" s="24">
        <v>40.754063293131573</v>
      </c>
      <c r="BG3" s="24">
        <v>51.523656939630818</v>
      </c>
      <c r="BH3" s="24">
        <v>80.320785193255631</v>
      </c>
      <c r="BI3" s="24">
        <v>57.937724628473667</v>
      </c>
      <c r="BJ3" s="24">
        <v>2.6441827214736922</v>
      </c>
      <c r="BK3" s="24">
        <v>7.321681414424515</v>
      </c>
      <c r="BL3" s="24">
        <v>5.9957873718154318</v>
      </c>
      <c r="BM3" s="24">
        <v>7.1518556647134668</v>
      </c>
      <c r="BN3" s="24">
        <v>8.6359501004164372</v>
      </c>
      <c r="BO3" s="24">
        <v>1.1074326612499139</v>
      </c>
      <c r="BP3" s="24">
        <v>5.8936279760591157</v>
      </c>
      <c r="BQ3" s="24">
        <v>41.912324652002603</v>
      </c>
      <c r="BR3" s="24">
        <v>59.737165243888533</v>
      </c>
      <c r="BS3" s="24">
        <v>63.122682882268293</v>
      </c>
      <c r="BT3" s="24">
        <v>90.00491060220665</v>
      </c>
      <c r="BU3" s="24">
        <v>72.097880288292743</v>
      </c>
      <c r="BV3" s="24">
        <v>3.9204050771622212</v>
      </c>
      <c r="BW3" s="24">
        <v>354.26359254232119</v>
      </c>
      <c r="BX3" s="24">
        <v>7.6757090400059687</v>
      </c>
      <c r="BY3" s="24">
        <v>6.2094689572705191</v>
      </c>
      <c r="BZ3" s="24">
        <v>7.4351927503859567</v>
      </c>
      <c r="CA3" s="24">
        <v>9.0379617908199794</v>
      </c>
      <c r="CB3" s="24">
        <v>8.8861864445187526E-5</v>
      </c>
      <c r="CC3" s="24">
        <v>0.76189071430792565</v>
      </c>
      <c r="CD3" s="24">
        <v>3.1470016480627461</v>
      </c>
      <c r="CE3" s="24">
        <v>7.9653873117744336</v>
      </c>
      <c r="CF3" s="24">
        <v>345.98200153874262</v>
      </c>
      <c r="CG3" s="24">
        <v>347.38019821309229</v>
      </c>
      <c r="CH3" s="24">
        <v>350.49767871136743</v>
      </c>
      <c r="CI3" s="24">
        <v>346.91967120294851</v>
      </c>
      <c r="CJ3" s="24">
        <v>347.3040753872512</v>
      </c>
      <c r="CK3" s="24">
        <v>347.38019821309229</v>
      </c>
      <c r="CL3" s="24">
        <v>347.68692506356223</v>
      </c>
      <c r="CM3" s="24">
        <v>348.36180720854043</v>
      </c>
      <c r="CN3" s="24">
        <v>349.08028847004221</v>
      </c>
      <c r="CO3" s="24">
        <v>349.88677128656423</v>
      </c>
      <c r="CP3" s="24">
        <v>350.24312220543419</v>
      </c>
      <c r="CQ3" s="24">
        <v>350.83375256550511</v>
      </c>
      <c r="CR3" s="24">
        <v>352.01858075384058</v>
      </c>
      <c r="CS3" s="24">
        <v>353.74322431828779</v>
      </c>
      <c r="CT3" s="24">
        <v>354.80826981399639</v>
      </c>
      <c r="CU3" s="24">
        <v>357.44799068262842</v>
      </c>
      <c r="CV3" s="24">
        <v>370.76166483352398</v>
      </c>
      <c r="CW3" s="24">
        <v>400.35846397554741</v>
      </c>
      <c r="CX3" s="24">
        <v>405.64808816074168</v>
      </c>
      <c r="CY3" s="24">
        <v>5.9944300467939087</v>
      </c>
      <c r="CZ3" s="24">
        <v>6.0698303171484556</v>
      </c>
      <c r="DA3" s="24">
        <v>6.0902984997879006</v>
      </c>
      <c r="DB3" s="24">
        <v>6.1976764497131018</v>
      </c>
      <c r="DC3" s="24">
        <v>6.4637691575112077</v>
      </c>
      <c r="DD3" s="24">
        <v>6.8325063528040246</v>
      </c>
      <c r="DE3" s="24">
        <v>7.3634880064295896</v>
      </c>
      <c r="DF3" s="24">
        <v>7.6483666205266809</v>
      </c>
      <c r="DG3" s="24">
        <v>8.1954229789244515</v>
      </c>
      <c r="DH3" s="24">
        <v>9.6689512336896648</v>
      </c>
      <c r="DI3" s="24">
        <v>12.81860740298373</v>
      </c>
      <c r="DJ3" s="24">
        <v>15.246740767391181</v>
      </c>
      <c r="DK3" s="24">
        <v>21.57145176455067</v>
      </c>
      <c r="DL3" s="24">
        <v>40.201325325003012</v>
      </c>
      <c r="DM3" s="24">
        <v>61.088535736652567</v>
      </c>
      <c r="DN3" s="24">
        <v>65.87535393692967</v>
      </c>
      <c r="DO3" s="24">
        <v>916.165808470191</v>
      </c>
    </row>
    <row r="4" spans="1:119" x14ac:dyDescent="0.3">
      <c r="A4" s="24" t="s">
        <v>377</v>
      </c>
      <c r="B4" s="24" t="s">
        <v>428</v>
      </c>
      <c r="C4" s="24" t="s">
        <v>429</v>
      </c>
      <c r="D4" s="24">
        <v>6.0000000000000001E-3</v>
      </c>
      <c r="E4" s="24">
        <v>8.0000000000000007E-5</v>
      </c>
      <c r="F4" s="24">
        <v>2.67717E-3</v>
      </c>
      <c r="G4" s="24">
        <v>8.75</v>
      </c>
      <c r="H4" s="24">
        <v>7.4999999999999997E-2</v>
      </c>
      <c r="I4" s="24">
        <v>2.67</v>
      </c>
      <c r="J4" s="24">
        <v>293.14999999999998</v>
      </c>
      <c r="K4" s="24">
        <v>407.303</v>
      </c>
      <c r="L4" s="24">
        <v>80</v>
      </c>
      <c r="M4" s="24">
        <v>0.3</v>
      </c>
      <c r="N4" s="24">
        <v>0.20498491247912731</v>
      </c>
      <c r="O4" s="24">
        <v>3.0120079839436702E-2</v>
      </c>
      <c r="P4" s="24">
        <v>30.095372574463251</v>
      </c>
      <c r="Q4" s="24">
        <v>41.529799647021591</v>
      </c>
      <c r="R4" s="24">
        <v>50.294784734483287</v>
      </c>
      <c r="S4" s="24">
        <v>85.768249009197348</v>
      </c>
      <c r="T4" s="24">
        <v>61.425940379042054</v>
      </c>
      <c r="U4" s="24">
        <v>2.5088054520068308</v>
      </c>
      <c r="V4" s="24">
        <v>354.7482425171404</v>
      </c>
      <c r="W4" s="24">
        <v>7.0539453719310732</v>
      </c>
      <c r="X4" s="24">
        <v>5.6456493910746239</v>
      </c>
      <c r="Y4" s="24">
        <v>6.9691932585395913</v>
      </c>
      <c r="Z4" s="24">
        <v>8.3646424560818762</v>
      </c>
      <c r="AA4" s="24">
        <v>6.7129604741140005E-4</v>
      </c>
      <c r="AB4" s="24">
        <v>1.1069313991230481</v>
      </c>
      <c r="AC4" s="24">
        <v>1.315523468383341</v>
      </c>
      <c r="AD4" s="24">
        <v>8.196434769230466</v>
      </c>
      <c r="AE4" s="24">
        <v>4.5</v>
      </c>
      <c r="AF4" s="24">
        <v>0.16417203575172609</v>
      </c>
      <c r="AG4" s="24">
        <v>2.9239387163612501E-2</v>
      </c>
      <c r="AH4" s="24">
        <v>93.466072110189245</v>
      </c>
      <c r="AI4" s="24">
        <v>87.1475103086876</v>
      </c>
      <c r="AJ4" s="24">
        <v>0.43269230342124487</v>
      </c>
      <c r="AK4" s="24">
        <v>0.99877993467847315</v>
      </c>
      <c r="AL4" s="24">
        <v>6.4670350100549694</v>
      </c>
      <c r="AM4" s="24">
        <v>52.614628746983762</v>
      </c>
      <c r="AN4" s="24">
        <v>62.348611118428487</v>
      </c>
      <c r="AO4" s="24">
        <v>83.030410691115563</v>
      </c>
      <c r="AP4" s="24">
        <v>52.614628746983762</v>
      </c>
      <c r="AQ4" s="24">
        <v>37.555191428029737</v>
      </c>
      <c r="AR4" s="24">
        <v>0.63367522141333565</v>
      </c>
      <c r="AS4" s="24">
        <v>9.1965046035731675</v>
      </c>
      <c r="AT4" s="24">
        <v>65.213467166155169</v>
      </c>
      <c r="AU4" s="24">
        <v>3.1704424101793691</v>
      </c>
      <c r="AV4" s="24">
        <v>8.6574724532803184</v>
      </c>
      <c r="AW4" s="24">
        <v>9.8304579612426597</v>
      </c>
      <c r="AX4" s="24">
        <v>4.8193493283012607</v>
      </c>
      <c r="AY4" s="24">
        <v>1.1694115760882899</v>
      </c>
      <c r="AZ4" s="24">
        <v>3.3101034820271158</v>
      </c>
      <c r="BA4" s="24">
        <v>79.682137788737819</v>
      </c>
      <c r="BB4" s="24">
        <v>113.40473128301301</v>
      </c>
      <c r="BC4" s="24">
        <v>8.8031502885295581</v>
      </c>
      <c r="BD4" s="24">
        <v>16.252161598805159</v>
      </c>
      <c r="BE4" s="24">
        <v>30.159577916783419</v>
      </c>
      <c r="BF4" s="24">
        <v>44.353826991875898</v>
      </c>
      <c r="BG4" s="24">
        <v>57.956631691036961</v>
      </c>
      <c r="BH4" s="24">
        <v>85.887867728879669</v>
      </c>
      <c r="BI4" s="24">
        <v>64.804982821105341</v>
      </c>
      <c r="BJ4" s="24">
        <v>2.5927176459548038</v>
      </c>
      <c r="BK4" s="24">
        <v>7.0770590886516569</v>
      </c>
      <c r="BL4" s="24">
        <v>5.6460951819896756</v>
      </c>
      <c r="BM4" s="24">
        <v>6.9782719670841677</v>
      </c>
      <c r="BN4" s="24">
        <v>8.4464770127513233</v>
      </c>
      <c r="BO4" s="24">
        <v>0.96155156340313463</v>
      </c>
      <c r="BP4" s="24">
        <v>8.8031502885295581</v>
      </c>
      <c r="BQ4" s="24">
        <v>48.676463164854539</v>
      </c>
      <c r="BR4" s="24">
        <v>66.469283864865602</v>
      </c>
      <c r="BS4" s="24">
        <v>67.378260640171533</v>
      </c>
      <c r="BT4" s="24">
        <v>104.2987705377559</v>
      </c>
      <c r="BU4" s="24">
        <v>80.997139217048272</v>
      </c>
      <c r="BV4" s="24">
        <v>3.785603284092161</v>
      </c>
      <c r="BW4" s="24">
        <v>343.45683944588598</v>
      </c>
      <c r="BX4" s="24">
        <v>7.1901520667417813</v>
      </c>
      <c r="BY4" s="24">
        <v>5.6581752623660773</v>
      </c>
      <c r="BZ4" s="24">
        <v>7.0233531244203942</v>
      </c>
      <c r="CA4" s="24">
        <v>8.8134222105535311</v>
      </c>
      <c r="CB4" s="24">
        <v>1.3185493116959999E-4</v>
      </c>
      <c r="CC4" s="24">
        <v>0.82552305215992539</v>
      </c>
      <c r="CD4" s="24">
        <v>0.45450149763621428</v>
      </c>
      <c r="CE4" s="24">
        <v>11.77174533364963</v>
      </c>
      <c r="CF4" s="24">
        <v>336.13018994998032</v>
      </c>
      <c r="CG4" s="24">
        <v>337.30213893435189</v>
      </c>
      <c r="CH4" s="24">
        <v>339.91754243599632</v>
      </c>
      <c r="CI4" s="24">
        <v>336.90684488412887</v>
      </c>
      <c r="CJ4" s="24">
        <v>337.23542119659959</v>
      </c>
      <c r="CK4" s="24">
        <v>337.30213893435189</v>
      </c>
      <c r="CL4" s="24">
        <v>337.57716095280762</v>
      </c>
      <c r="CM4" s="24">
        <v>338.1945716422548</v>
      </c>
      <c r="CN4" s="24">
        <v>338.87788518720743</v>
      </c>
      <c r="CO4" s="24">
        <v>339.68799404267241</v>
      </c>
      <c r="CP4" s="24">
        <v>340.06246855611562</v>
      </c>
      <c r="CQ4" s="24">
        <v>340.71681092625118</v>
      </c>
      <c r="CR4" s="24">
        <v>342.16781530158721</v>
      </c>
      <c r="CS4" s="24">
        <v>344.59512792947942</v>
      </c>
      <c r="CT4" s="24">
        <v>346.15606562703738</v>
      </c>
      <c r="CU4" s="24">
        <v>349.89121622313507</v>
      </c>
      <c r="CV4" s="24">
        <v>365.31075545358152</v>
      </c>
      <c r="CW4" s="24">
        <v>397.90121208721052</v>
      </c>
      <c r="CX4" s="24">
        <v>403.22922494211412</v>
      </c>
      <c r="CY4" s="24">
        <v>8.9791514631789298</v>
      </c>
      <c r="CZ4" s="24">
        <v>9.0990470645333499</v>
      </c>
      <c r="DA4" s="24">
        <v>9.1316805498241358</v>
      </c>
      <c r="DB4" s="24">
        <v>9.3034756876476621</v>
      </c>
      <c r="DC4" s="24">
        <v>9.7262231226973164</v>
      </c>
      <c r="DD4" s="24">
        <v>10.30821323187935</v>
      </c>
      <c r="DE4" s="24">
        <v>11.154435289886671</v>
      </c>
      <c r="DF4" s="24">
        <v>11.6096080360626</v>
      </c>
      <c r="DG4" s="24">
        <v>12.481061624950881</v>
      </c>
      <c r="DH4" s="24">
        <v>14.76957833564674</v>
      </c>
      <c r="DI4" s="24">
        <v>19.242971081606282</v>
      </c>
      <c r="DJ4" s="24">
        <v>22.286930133226779</v>
      </c>
      <c r="DK4" s="24">
        <v>29.299783123117329</v>
      </c>
      <c r="DL4" s="24">
        <v>46.560138782164913</v>
      </c>
      <c r="DM4" s="24">
        <v>62.818876129027089</v>
      </c>
      <c r="DN4" s="24">
        <v>66.646314036678746</v>
      </c>
      <c r="DO4" s="24">
        <v>796.1848527190034</v>
      </c>
    </row>
    <row r="5" spans="1:119" x14ac:dyDescent="0.3">
      <c r="A5" s="24" t="s">
        <v>430</v>
      </c>
      <c r="B5" s="24" t="s">
        <v>431</v>
      </c>
      <c r="C5" s="24" t="s">
        <v>429</v>
      </c>
      <c r="D5" s="24">
        <v>6.0000000000000001E-3</v>
      </c>
      <c r="E5" s="24">
        <v>8.0000000000000007E-5</v>
      </c>
      <c r="F5" s="24">
        <v>2.67717E-3</v>
      </c>
      <c r="G5" s="24">
        <v>8.75</v>
      </c>
      <c r="H5" s="24">
        <v>7.4999999999999997E-2</v>
      </c>
      <c r="I5" s="24">
        <v>2.67</v>
      </c>
      <c r="J5" s="24">
        <v>293.14999999999998</v>
      </c>
      <c r="K5" s="24">
        <v>407.303</v>
      </c>
      <c r="L5" s="24">
        <v>80</v>
      </c>
      <c r="M5" s="24">
        <v>0.3</v>
      </c>
      <c r="N5" s="24">
        <v>0.20345460996235371</v>
      </c>
      <c r="O5" s="24">
        <v>3.0104872832237201E-2</v>
      </c>
      <c r="P5" s="24">
        <v>21.690495291300341</v>
      </c>
      <c r="Q5" s="24">
        <v>40.777930681589027</v>
      </c>
      <c r="R5" s="24">
        <v>50.210571002326148</v>
      </c>
      <c r="S5" s="24">
        <v>85.784092688401401</v>
      </c>
      <c r="T5" s="24">
        <v>60.900847350148773</v>
      </c>
      <c r="U5" s="24">
        <v>2.4637660656492959</v>
      </c>
      <c r="V5" s="24">
        <v>355.75488399483447</v>
      </c>
      <c r="W5" s="24">
        <v>7.5647581608023184</v>
      </c>
      <c r="X5" s="24">
        <v>5.8747205826867006</v>
      </c>
      <c r="Y5" s="24">
        <v>7.2781445100926661</v>
      </c>
      <c r="Z5" s="24">
        <v>9.2793779933686231</v>
      </c>
      <c r="AA5" s="24">
        <v>6.3204276510620005E-4</v>
      </c>
      <c r="AB5" s="24">
        <v>1.2764960867330459</v>
      </c>
      <c r="AC5" s="24">
        <v>1.6218857497893111</v>
      </c>
      <c r="AD5" s="24">
        <v>7.8666583224909763</v>
      </c>
      <c r="AE5" s="24">
        <v>4.5</v>
      </c>
      <c r="AF5" s="24">
        <v>0.21304614319617871</v>
      </c>
      <c r="AG5" s="24">
        <v>2.9225056230891298E-2</v>
      </c>
      <c r="AH5" s="24">
        <v>90.886826365958285</v>
      </c>
      <c r="AI5" s="24">
        <v>85.543976921993874</v>
      </c>
      <c r="AJ5" s="24">
        <v>0.4691151314265673</v>
      </c>
      <c r="AK5" s="24">
        <v>1.2281119577146951</v>
      </c>
      <c r="AL5" s="24">
        <v>6.469582973942563</v>
      </c>
      <c r="AM5" s="24">
        <v>52.641391572547661</v>
      </c>
      <c r="AN5" s="24">
        <v>62.21318289146199</v>
      </c>
      <c r="AO5" s="24">
        <v>78.048957408616943</v>
      </c>
      <c r="AP5" s="24">
        <v>52.641391572547661</v>
      </c>
      <c r="AQ5" s="24">
        <v>37.580180637450383</v>
      </c>
      <c r="AR5" s="24">
        <v>0.65080997082539593</v>
      </c>
      <c r="AS5" s="24">
        <v>9.1276178191765638</v>
      </c>
      <c r="AT5" s="24">
        <v>65.406296512237105</v>
      </c>
      <c r="AU5" s="24">
        <v>3.1642081440542968</v>
      </c>
      <c r="AV5" s="24">
        <v>8.6574724532803184</v>
      </c>
      <c r="AW5" s="24">
        <v>9.8498263745301617</v>
      </c>
      <c r="AX5" s="24">
        <v>4.8174512881803322</v>
      </c>
      <c r="AY5" s="24">
        <v>1.428053209874443</v>
      </c>
      <c r="AZ5" s="24">
        <v>4.9779930354865458</v>
      </c>
      <c r="BA5" s="24">
        <v>80.190988748051495</v>
      </c>
      <c r="BB5" s="24">
        <v>116.3576066897361</v>
      </c>
      <c r="BC5" s="24">
        <v>8.6234701268632765</v>
      </c>
      <c r="BD5" s="24">
        <v>15.89810324124131</v>
      </c>
      <c r="BE5" s="24">
        <v>30.187971613956019</v>
      </c>
      <c r="BF5" s="24">
        <v>44.403465127129571</v>
      </c>
      <c r="BG5" s="24">
        <v>57.967820000000003</v>
      </c>
      <c r="BH5" s="24">
        <v>85.892458155806267</v>
      </c>
      <c r="BI5" s="24">
        <v>64.853039340199402</v>
      </c>
      <c r="BJ5" s="24">
        <v>2.5979400226460401</v>
      </c>
      <c r="BK5" s="24">
        <v>7.4374306177002341</v>
      </c>
      <c r="BL5" s="24">
        <v>5.7777063451102499</v>
      </c>
      <c r="BM5" s="24">
        <v>7.1505653359440888</v>
      </c>
      <c r="BN5" s="24">
        <v>8.9546470138935153</v>
      </c>
      <c r="BO5" s="24">
        <v>0.96095534629127399</v>
      </c>
      <c r="BP5" s="24">
        <v>8.6234701268632765</v>
      </c>
      <c r="BQ5" s="24">
        <v>48.678215645485182</v>
      </c>
      <c r="BR5" s="24">
        <v>64.929209883721569</v>
      </c>
      <c r="BS5" s="24">
        <v>67.265268319040374</v>
      </c>
      <c r="BT5" s="24">
        <v>95.193092587408515</v>
      </c>
      <c r="BU5" s="24">
        <v>79.032238533682175</v>
      </c>
      <c r="BV5" s="24">
        <v>3.8004898488444558</v>
      </c>
      <c r="BW5" s="24">
        <v>344.75816146225378</v>
      </c>
      <c r="BX5" s="24">
        <v>6.9847057893852664</v>
      </c>
      <c r="BY5" s="24">
        <v>5.4617497362275786</v>
      </c>
      <c r="BZ5" s="24">
        <v>6.7807754814341772</v>
      </c>
      <c r="CA5" s="24">
        <v>8.1322987303046723</v>
      </c>
      <c r="CB5" s="24">
        <v>1.711082197218E-4</v>
      </c>
      <c r="CC5" s="24">
        <v>0.69151403249151466</v>
      </c>
      <c r="CD5" s="24">
        <v>0.73886372881724882</v>
      </c>
      <c r="CE5" s="24">
        <v>11.31438433013577</v>
      </c>
      <c r="CF5" s="24">
        <v>336.28478533390938</v>
      </c>
      <c r="CG5" s="24">
        <v>337.57463626451039</v>
      </c>
      <c r="CH5" s="24">
        <v>340.2602065697161</v>
      </c>
      <c r="CI5" s="24">
        <v>337.16088493000711</v>
      </c>
      <c r="CJ5" s="24">
        <v>337.50328109584848</v>
      </c>
      <c r="CK5" s="24">
        <v>337.57463626451039</v>
      </c>
      <c r="CL5" s="24">
        <v>337.86404531319721</v>
      </c>
      <c r="CM5" s="24">
        <v>338.50319151497712</v>
      </c>
      <c r="CN5" s="24">
        <v>339.18565556118227</v>
      </c>
      <c r="CO5" s="24">
        <v>339.96978332219101</v>
      </c>
      <c r="CP5" s="24">
        <v>340.32595781442791</v>
      </c>
      <c r="CQ5" s="24">
        <v>340.93723946078211</v>
      </c>
      <c r="CR5" s="24">
        <v>342.2670892341846</v>
      </c>
      <c r="CS5" s="24">
        <v>344.46473543329569</v>
      </c>
      <c r="CT5" s="24">
        <v>345.94023172996441</v>
      </c>
      <c r="CU5" s="24">
        <v>349.59153740820619</v>
      </c>
      <c r="CV5" s="24">
        <v>363.80027672877912</v>
      </c>
      <c r="CW5" s="24">
        <v>397.06252092617888</v>
      </c>
      <c r="CX5" s="24">
        <v>403.13761380493838</v>
      </c>
      <c r="CY5" s="24">
        <v>8.8086663877125826</v>
      </c>
      <c r="CZ5" s="24">
        <v>8.9285193155475326</v>
      </c>
      <c r="DA5" s="24">
        <v>8.9612032044967194</v>
      </c>
      <c r="DB5" s="24">
        <v>9.1316371921131356</v>
      </c>
      <c r="DC5" s="24">
        <v>9.5483335397727913</v>
      </c>
      <c r="DD5" s="24">
        <v>10.11040240163166</v>
      </c>
      <c r="DE5" s="24">
        <v>10.91859753007591</v>
      </c>
      <c r="DF5" s="24">
        <v>11.350790995887101</v>
      </c>
      <c r="DG5" s="24">
        <v>12.17408027401938</v>
      </c>
      <c r="DH5" s="24">
        <v>14.35141881075528</v>
      </c>
      <c r="DI5" s="24">
        <v>18.694231532519211</v>
      </c>
      <c r="DJ5" s="24">
        <v>21.70955014006238</v>
      </c>
      <c r="DK5" s="24">
        <v>28.678316549143531</v>
      </c>
      <c r="DL5" s="24">
        <v>44.816584998100453</v>
      </c>
      <c r="DM5" s="24">
        <v>63.013692801780202</v>
      </c>
      <c r="DN5" s="24">
        <v>66.678671660286724</v>
      </c>
      <c r="DO5" s="24">
        <v>790.22099833591687</v>
      </c>
    </row>
    <row r="6" spans="1:119" x14ac:dyDescent="0.3">
      <c r="A6" s="24" t="s">
        <v>402</v>
      </c>
      <c r="B6" s="24" t="s">
        <v>428</v>
      </c>
      <c r="C6" s="24" t="s">
        <v>429</v>
      </c>
      <c r="D6" s="24">
        <v>6.0000000000000001E-3</v>
      </c>
      <c r="E6" s="24">
        <v>6.2714799999999998E-5</v>
      </c>
      <c r="F6" s="24">
        <v>2.0121100000000001E-3</v>
      </c>
      <c r="G6" s="24">
        <v>8.75</v>
      </c>
      <c r="H6" s="24">
        <v>7.4999999999999997E-2</v>
      </c>
      <c r="I6" s="24">
        <v>2.9341200000000001</v>
      </c>
      <c r="J6" s="24">
        <v>293.14999999999998</v>
      </c>
      <c r="K6" s="24">
        <v>421.92099999999999</v>
      </c>
      <c r="L6" s="24">
        <v>80</v>
      </c>
      <c r="M6" s="24">
        <v>0.3</v>
      </c>
      <c r="N6" s="24">
        <v>6.3075738897808903E-2</v>
      </c>
      <c r="O6" s="24">
        <v>2.4599651214404401E-2</v>
      </c>
      <c r="P6" s="24">
        <v>24.589506926991021</v>
      </c>
      <c r="Q6" s="24">
        <v>35.003865517169771</v>
      </c>
      <c r="R6" s="24">
        <v>44.695392888204871</v>
      </c>
      <c r="S6" s="24">
        <v>66.701187307336141</v>
      </c>
      <c r="T6" s="24">
        <v>49.253885053172823</v>
      </c>
      <c r="U6" s="24">
        <v>2.7001308883137618</v>
      </c>
      <c r="V6" s="24">
        <v>379.607648703123</v>
      </c>
      <c r="W6" s="24">
        <v>7.5052178918521548</v>
      </c>
      <c r="X6" s="24">
        <v>6.2533350571589503</v>
      </c>
      <c r="Y6" s="24">
        <v>7.2629370477071049</v>
      </c>
      <c r="Z6" s="24">
        <v>8.8017076699139967</v>
      </c>
      <c r="AA6" s="24">
        <v>5.3025600540539998E-4</v>
      </c>
      <c r="AB6" s="24">
        <v>0.94219286729792695</v>
      </c>
      <c r="AC6" s="24">
        <v>7.1642475875860123</v>
      </c>
      <c r="AD6" s="24">
        <v>3.278084851401061</v>
      </c>
      <c r="AE6" s="24">
        <v>3.3</v>
      </c>
      <c r="AF6" s="24">
        <v>0.12155896699639571</v>
      </c>
      <c r="AG6" s="24">
        <v>2.40090372715311E-2</v>
      </c>
      <c r="AH6" s="24">
        <v>28.730065434446111</v>
      </c>
      <c r="AI6" s="24">
        <v>13.89914642417674</v>
      </c>
      <c r="AJ6" s="24">
        <v>1.8006872732098671</v>
      </c>
      <c r="AK6" s="24">
        <v>3.5508499281305621</v>
      </c>
      <c r="AL6" s="24">
        <v>4.992977721643812</v>
      </c>
      <c r="AM6" s="24">
        <v>36.636742997527698</v>
      </c>
      <c r="AN6" s="24">
        <v>48.410165540558872</v>
      </c>
      <c r="AO6" s="24">
        <v>87.689434304037206</v>
      </c>
      <c r="AP6" s="24">
        <v>36.636742997527698</v>
      </c>
      <c r="AQ6" s="24">
        <v>51.483243266504203</v>
      </c>
      <c r="AR6" s="24">
        <v>0.58837949470335993</v>
      </c>
      <c r="AS6" s="24">
        <v>11.291634241264729</v>
      </c>
      <c r="AT6" s="24">
        <v>99.999999959315801</v>
      </c>
      <c r="AU6" s="24">
        <v>2.250691305922925</v>
      </c>
      <c r="AV6" s="24">
        <v>9.7661155228628225</v>
      </c>
      <c r="AW6" s="24">
        <v>15.62098533449889</v>
      </c>
      <c r="AX6" s="24">
        <v>7.0414926407344902</v>
      </c>
      <c r="AY6" s="24">
        <v>7.0914876419469453</v>
      </c>
      <c r="AZ6" s="24">
        <v>9.427960999176026</v>
      </c>
      <c r="BA6" s="24">
        <v>105.5993052987529</v>
      </c>
      <c r="BB6" s="24">
        <v>131.99032304154241</v>
      </c>
      <c r="BC6" s="24">
        <v>3.4483852014125178</v>
      </c>
      <c r="BD6" s="24">
        <v>6.1076732395879327</v>
      </c>
      <c r="BE6" s="24">
        <v>24.611154365567248</v>
      </c>
      <c r="BF6" s="24">
        <v>36.566014111142522</v>
      </c>
      <c r="BG6" s="24">
        <v>45.915467087861138</v>
      </c>
      <c r="BH6" s="24">
        <v>66.745077545326168</v>
      </c>
      <c r="BI6" s="24">
        <v>50.923104931151727</v>
      </c>
      <c r="BJ6" s="24">
        <v>2.743277887446828</v>
      </c>
      <c r="BK6" s="24">
        <v>7.6280080569012094</v>
      </c>
      <c r="BL6" s="24">
        <v>6.2903912906527077</v>
      </c>
      <c r="BM6" s="24">
        <v>7.3628836097922399</v>
      </c>
      <c r="BN6" s="24">
        <v>9.0145552452855835</v>
      </c>
      <c r="BO6" s="24">
        <v>0.91764117523042776</v>
      </c>
      <c r="BP6" s="24">
        <v>3.4483852014125178</v>
      </c>
      <c r="BQ6" s="24">
        <v>44.46221872886035</v>
      </c>
      <c r="BR6" s="24">
        <v>53.607136945875759</v>
      </c>
      <c r="BS6" s="24">
        <v>56.297770336657663</v>
      </c>
      <c r="BT6" s="24">
        <v>74.710380429346202</v>
      </c>
      <c r="BU6" s="24">
        <v>62.511181514718203</v>
      </c>
      <c r="BV6" s="24">
        <v>4.5701542184338058</v>
      </c>
      <c r="BW6" s="24">
        <v>372.63523634150732</v>
      </c>
      <c r="BX6" s="24">
        <v>8.5026551183910151</v>
      </c>
      <c r="BY6" s="24">
        <v>6.8367094020740513</v>
      </c>
      <c r="BZ6" s="24">
        <v>8.0169559166701632</v>
      </c>
      <c r="CA6" s="24">
        <v>9.7597324378954884</v>
      </c>
      <c r="CB6" s="24">
        <v>7.3377005216077826E-5</v>
      </c>
      <c r="CC6" s="24">
        <v>0.53728880414985281</v>
      </c>
      <c r="CD6" s="24">
        <v>6.573211014320103</v>
      </c>
      <c r="CE6" s="24">
        <v>4.6614522304266064</v>
      </c>
      <c r="CF6" s="24">
        <v>359.58274573176692</v>
      </c>
      <c r="CG6" s="24">
        <v>361.32556696307807</v>
      </c>
      <c r="CH6" s="24">
        <v>365.19558371675942</v>
      </c>
      <c r="CI6" s="24">
        <v>360.76339314291351</v>
      </c>
      <c r="CJ6" s="24">
        <v>361.23464431336203</v>
      </c>
      <c r="CK6" s="24">
        <v>361.32556696307807</v>
      </c>
      <c r="CL6" s="24">
        <v>361.69283086859519</v>
      </c>
      <c r="CM6" s="24">
        <v>362.49507238755763</v>
      </c>
      <c r="CN6" s="24">
        <v>363.34603514331019</v>
      </c>
      <c r="CO6" s="24">
        <v>364.27956897893557</v>
      </c>
      <c r="CP6" s="24">
        <v>364.67959058438157</v>
      </c>
      <c r="CQ6" s="24">
        <v>365.32947831641002</v>
      </c>
      <c r="CR6" s="24">
        <v>366.55653329087772</v>
      </c>
      <c r="CS6" s="24">
        <v>368.06410548154048</v>
      </c>
      <c r="CT6" s="24">
        <v>368.81324366420762</v>
      </c>
      <c r="CU6" s="24">
        <v>370.50845110014637</v>
      </c>
      <c r="CV6" s="24">
        <v>381.14885946979348</v>
      </c>
      <c r="CW6" s="24">
        <v>411.60168301935431</v>
      </c>
      <c r="CX6" s="24">
        <v>417.36134568162299</v>
      </c>
      <c r="CY6" s="24">
        <v>3.5024503114178849</v>
      </c>
      <c r="CZ6" s="24">
        <v>3.5469031711289438</v>
      </c>
      <c r="DA6" s="24">
        <v>3.5590017302333079</v>
      </c>
      <c r="DB6" s="24">
        <v>3.6228736512766821</v>
      </c>
      <c r="DC6" s="24">
        <v>3.7833586854769639</v>
      </c>
      <c r="DD6" s="24">
        <v>4.003663638809055</v>
      </c>
      <c r="DE6" s="24">
        <v>4.322859526519947</v>
      </c>
      <c r="DF6" s="24">
        <v>4.4940698788216533</v>
      </c>
      <c r="DG6" s="24">
        <v>4.8227078921962852</v>
      </c>
      <c r="DH6" s="24">
        <v>5.6910417538269842</v>
      </c>
      <c r="DI6" s="24">
        <v>7.5308487410474854</v>
      </c>
      <c r="DJ6" s="24">
        <v>8.9822419922222334</v>
      </c>
      <c r="DK6" s="24">
        <v>13.290540453405701</v>
      </c>
      <c r="DL6" s="24">
        <v>30.822612124727641</v>
      </c>
      <c r="DM6" s="24">
        <v>57.884065283889662</v>
      </c>
      <c r="DN6" s="24">
        <v>64.454146242368211</v>
      </c>
      <c r="DO6" s="24">
        <v>1102.7540444210481</v>
      </c>
    </row>
    <row r="7" spans="1:119" x14ac:dyDescent="0.3">
      <c r="A7" s="24" t="s">
        <v>372</v>
      </c>
      <c r="B7" s="24" t="s">
        <v>428</v>
      </c>
      <c r="C7" s="24" t="s">
        <v>429</v>
      </c>
      <c r="D7" s="24">
        <v>6.0000000000000001E-3</v>
      </c>
      <c r="E7" s="24">
        <v>8.0000000000000007E-5</v>
      </c>
      <c r="F7" s="24">
        <v>2.5198999999999998E-3</v>
      </c>
      <c r="G7" s="24">
        <v>8.75</v>
      </c>
      <c r="H7" s="24">
        <v>7.4999999999999997E-2</v>
      </c>
      <c r="I7" s="24">
        <v>2.67</v>
      </c>
      <c r="J7" s="24">
        <v>293.14999999999998</v>
      </c>
      <c r="K7" s="24">
        <v>404.23700000000002</v>
      </c>
      <c r="L7" s="24">
        <v>80</v>
      </c>
      <c r="M7" s="24">
        <v>0.3</v>
      </c>
      <c r="N7" s="24">
        <v>0.19185263349718701</v>
      </c>
      <c r="O7" s="24">
        <v>2.8721920492688499E-2</v>
      </c>
      <c r="P7" s="24">
        <v>30.087110040183809</v>
      </c>
      <c r="Q7" s="24">
        <v>41.28232325946162</v>
      </c>
      <c r="R7" s="24">
        <v>50.296758439558701</v>
      </c>
      <c r="S7" s="24">
        <v>85.780318799251461</v>
      </c>
      <c r="T7" s="24">
        <v>61.378577869443141</v>
      </c>
      <c r="U7" s="24">
        <v>2.481003763758276</v>
      </c>
      <c r="V7" s="24">
        <v>354.50350776631319</v>
      </c>
      <c r="W7" s="24">
        <v>7.0720285853832499</v>
      </c>
      <c r="X7" s="24">
        <v>5.6363995356913579</v>
      </c>
      <c r="Y7" s="24">
        <v>6.9728847043377868</v>
      </c>
      <c r="Z7" s="24">
        <v>8.4455952737633577</v>
      </c>
      <c r="AA7" s="24">
        <v>6.1921793041960001E-4</v>
      </c>
      <c r="AB7" s="24">
        <v>1.1072922090196691</v>
      </c>
      <c r="AC7" s="24">
        <v>1.429694460160541</v>
      </c>
      <c r="AD7" s="24">
        <v>7.9571806226415651</v>
      </c>
      <c r="AE7" s="24">
        <v>4.5</v>
      </c>
      <c r="AF7" s="24">
        <v>0.18089619972413359</v>
      </c>
      <c r="AG7" s="24">
        <v>2.79200043476595E-2</v>
      </c>
      <c r="AH7" s="24">
        <v>93.143354823698004</v>
      </c>
      <c r="AI7" s="24">
        <v>85.921860531140368</v>
      </c>
      <c r="AJ7" s="24">
        <v>0.42914945638234941</v>
      </c>
      <c r="AK7" s="24">
        <v>0.95990866710262679</v>
      </c>
      <c r="AL7" s="24">
        <v>6.0944270218195404</v>
      </c>
      <c r="AM7" s="24">
        <v>50.969014288471477</v>
      </c>
      <c r="AN7" s="24">
        <v>60.895699521999838</v>
      </c>
      <c r="AO7" s="24">
        <v>81.376635563893018</v>
      </c>
      <c r="AP7" s="24">
        <v>50.969014288471477</v>
      </c>
      <c r="AQ7" s="24">
        <v>38.985719816325563</v>
      </c>
      <c r="AR7" s="24">
        <v>0.60979231325284977</v>
      </c>
      <c r="AS7" s="24">
        <v>9.4354735819501165</v>
      </c>
      <c r="AT7" s="24">
        <v>66.870967117171446</v>
      </c>
      <c r="AU7" s="24">
        <v>2.9761605751064542</v>
      </c>
      <c r="AV7" s="24">
        <v>8.4249440874751507</v>
      </c>
      <c r="AW7" s="24">
        <v>10.19091475392778</v>
      </c>
      <c r="AX7" s="24">
        <v>4.9766448275321773</v>
      </c>
      <c r="AY7" s="24">
        <v>1.261665749928627</v>
      </c>
      <c r="AZ7" s="24">
        <v>3.4510807772831971</v>
      </c>
      <c r="BA7" s="24">
        <v>79.384418194669792</v>
      </c>
      <c r="BB7" s="24">
        <v>111.38457167623611</v>
      </c>
      <c r="BC7" s="24">
        <v>8.5569500932370079</v>
      </c>
      <c r="BD7" s="24">
        <v>15.84386501899054</v>
      </c>
      <c r="BE7" s="24">
        <v>30.148097559765802</v>
      </c>
      <c r="BF7" s="24">
        <v>44.305689163717922</v>
      </c>
      <c r="BG7" s="24">
        <v>57.950995707272313</v>
      </c>
      <c r="BH7" s="24">
        <v>85.894065386729295</v>
      </c>
      <c r="BI7" s="24">
        <v>64.761011248292078</v>
      </c>
      <c r="BJ7" s="24">
        <v>2.5898997196556919</v>
      </c>
      <c r="BK7" s="24">
        <v>7.1035745793042873</v>
      </c>
      <c r="BL7" s="24">
        <v>5.6511119751046426</v>
      </c>
      <c r="BM7" s="24">
        <v>6.9990794294420011</v>
      </c>
      <c r="BN7" s="24">
        <v>8.4931481878899149</v>
      </c>
      <c r="BO7" s="24">
        <v>0.96195012952931702</v>
      </c>
      <c r="BP7" s="24">
        <v>8.5569500932370079</v>
      </c>
      <c r="BQ7" s="24">
        <v>48.615253340136171</v>
      </c>
      <c r="BR7" s="24">
        <v>65.156709581403547</v>
      </c>
      <c r="BS7" s="24">
        <v>67.293317867040429</v>
      </c>
      <c r="BT7" s="24">
        <v>95.186177061074716</v>
      </c>
      <c r="BU7" s="24">
        <v>79.521592404582918</v>
      </c>
      <c r="BV7" s="24">
        <v>3.7487996016234439</v>
      </c>
      <c r="BW7" s="24">
        <v>343.93028627135158</v>
      </c>
      <c r="BX7" s="24">
        <v>7.2414179244001904</v>
      </c>
      <c r="BY7" s="24">
        <v>5.7201356635383354</v>
      </c>
      <c r="BZ7" s="24">
        <v>7.0911529326790959</v>
      </c>
      <c r="CA7" s="24">
        <v>8.7411084417600247</v>
      </c>
      <c r="CB7" s="24">
        <v>1.3675210684680001E-4</v>
      </c>
      <c r="CC7" s="24">
        <v>0.69205866491758339</v>
      </c>
      <c r="CD7" s="24">
        <v>0.52744765718148501</v>
      </c>
      <c r="CE7" s="24">
        <v>11.1777022026876</v>
      </c>
      <c r="CF7" s="24">
        <v>336.58979427199603</v>
      </c>
      <c r="CG7" s="24">
        <v>337.77298195584598</v>
      </c>
      <c r="CH7" s="24">
        <v>340.40350126467052</v>
      </c>
      <c r="CI7" s="24">
        <v>337.37541474860222</v>
      </c>
      <c r="CJ7" s="24">
        <v>337.70546608665097</v>
      </c>
      <c r="CK7" s="24">
        <v>337.77298195584598</v>
      </c>
      <c r="CL7" s="24">
        <v>338.0476252326319</v>
      </c>
      <c r="CM7" s="24">
        <v>338.66318557645479</v>
      </c>
      <c r="CN7" s="24">
        <v>339.34274634574558</v>
      </c>
      <c r="CO7" s="24">
        <v>340.14297532232212</v>
      </c>
      <c r="CP7" s="24">
        <v>340.51321208774277</v>
      </c>
      <c r="CQ7" s="24">
        <v>341.15383550632743</v>
      </c>
      <c r="CR7" s="24">
        <v>342.57101810811412</v>
      </c>
      <c r="CS7" s="24">
        <v>344.92064394028858</v>
      </c>
      <c r="CT7" s="24">
        <v>346.41863434982201</v>
      </c>
      <c r="CU7" s="24">
        <v>349.96857545959972</v>
      </c>
      <c r="CV7" s="24">
        <v>364.55891287039577</v>
      </c>
      <c r="CW7" s="24">
        <v>395.24443111720581</v>
      </c>
      <c r="CX7" s="24">
        <v>400.33266560107649</v>
      </c>
      <c r="CY7" s="24">
        <v>8.7331931790687118</v>
      </c>
      <c r="CZ7" s="24">
        <v>8.8528582046232493</v>
      </c>
      <c r="DA7" s="24">
        <v>8.8854485031099486</v>
      </c>
      <c r="DB7" s="24">
        <v>9.0564783034502661</v>
      </c>
      <c r="DC7" s="24">
        <v>9.4785927633765166</v>
      </c>
      <c r="DD7" s="24">
        <v>10.060528522941659</v>
      </c>
      <c r="DE7" s="24">
        <v>10.9086210501865</v>
      </c>
      <c r="DF7" s="24">
        <v>11.36534631477406</v>
      </c>
      <c r="DG7" s="24">
        <v>12.238893421853019</v>
      </c>
      <c r="DH7" s="24">
        <v>14.5391269366663</v>
      </c>
      <c r="DI7" s="24">
        <v>19.038004941853469</v>
      </c>
      <c r="DJ7" s="24">
        <v>22.117117429695181</v>
      </c>
      <c r="DK7" s="24">
        <v>29.180873924039989</v>
      </c>
      <c r="DL7" s="24">
        <v>46.43101715528509</v>
      </c>
      <c r="DM7" s="24">
        <v>62.830843129781677</v>
      </c>
      <c r="DN7" s="24">
        <v>66.650395011271016</v>
      </c>
      <c r="DO7" s="24">
        <v>794.9333736677861</v>
      </c>
    </row>
    <row r="8" spans="1:119" x14ac:dyDescent="0.3">
      <c r="A8" s="24" t="s">
        <v>432</v>
      </c>
      <c r="B8" s="24" t="s">
        <v>431</v>
      </c>
      <c r="C8" s="24" t="s">
        <v>429</v>
      </c>
      <c r="D8" s="24">
        <v>6.0000000000000001E-3</v>
      </c>
      <c r="E8" s="24">
        <v>8.0000000000000007E-5</v>
      </c>
      <c r="F8" s="24">
        <v>2.5198999999999998E-3</v>
      </c>
      <c r="G8" s="24">
        <v>8.75</v>
      </c>
      <c r="H8" s="24">
        <v>7.4999999999999997E-2</v>
      </c>
      <c r="I8" s="24">
        <v>2.67</v>
      </c>
      <c r="J8" s="24">
        <v>293.14999999999998</v>
      </c>
      <c r="K8" s="24">
        <v>404.23700000000002</v>
      </c>
      <c r="L8" s="24">
        <v>80</v>
      </c>
      <c r="M8" s="24">
        <v>0.3</v>
      </c>
      <c r="N8" s="24">
        <v>0.1908211668689577</v>
      </c>
      <c r="O8" s="24">
        <v>2.8716259072916899E-2</v>
      </c>
      <c r="P8" s="24">
        <v>30.079543565174632</v>
      </c>
      <c r="Q8" s="24">
        <v>41.139580707790252</v>
      </c>
      <c r="R8" s="24">
        <v>50.295938613924733</v>
      </c>
      <c r="S8" s="24">
        <v>85.770617529657471</v>
      </c>
      <c r="T8" s="24">
        <v>61.352256623720479</v>
      </c>
      <c r="U8" s="24">
        <v>2.4702076588148092</v>
      </c>
      <c r="V8" s="24">
        <v>354.93590032325051</v>
      </c>
      <c r="W8" s="24">
        <v>7.5281828221325986</v>
      </c>
      <c r="X8" s="24">
        <v>5.8724171403108114</v>
      </c>
      <c r="Y8" s="24">
        <v>7.2671438330172862</v>
      </c>
      <c r="Z8" s="24">
        <v>9.0156353265149001</v>
      </c>
      <c r="AA8" s="24">
        <v>6.0603695943569995E-4</v>
      </c>
      <c r="AB8" s="24">
        <v>1.1072678132517131</v>
      </c>
      <c r="AC8" s="24">
        <v>1.659660602272363</v>
      </c>
      <c r="AD8" s="24">
        <v>7.7557340606889564</v>
      </c>
      <c r="AE8" s="24">
        <v>4.5</v>
      </c>
      <c r="AF8" s="24">
        <v>0.19806117127182599</v>
      </c>
      <c r="AG8" s="24">
        <v>2.7914654618948199E-2</v>
      </c>
      <c r="AH8" s="24">
        <v>91.379405540226315</v>
      </c>
      <c r="AI8" s="24">
        <v>85.010846926300118</v>
      </c>
      <c r="AJ8" s="24">
        <v>0.4580088038188545</v>
      </c>
      <c r="AK8" s="24">
        <v>1.068484959756244</v>
      </c>
      <c r="AL8" s="24">
        <v>6.0970674319316824</v>
      </c>
      <c r="AM8" s="24">
        <v>50.995444720776128</v>
      </c>
      <c r="AN8" s="24">
        <v>60.792130951618908</v>
      </c>
      <c r="AO8" s="24">
        <v>79.62960520243692</v>
      </c>
      <c r="AP8" s="24">
        <v>50.995444720776128</v>
      </c>
      <c r="AQ8" s="24">
        <v>39.018881372081417</v>
      </c>
      <c r="AR8" s="24">
        <v>0.62737210365245322</v>
      </c>
      <c r="AS8" s="24">
        <v>9.3583018034899919</v>
      </c>
      <c r="AT8" s="24">
        <v>66.876645682847936</v>
      </c>
      <c r="AU8" s="24">
        <v>2.9712169381311808</v>
      </c>
      <c r="AV8" s="24">
        <v>8.4249440874751507</v>
      </c>
      <c r="AW8" s="24">
        <v>10.207870830861379</v>
      </c>
      <c r="AX8" s="24">
        <v>4.9744896302223456</v>
      </c>
      <c r="AY8" s="24">
        <v>1.4629713350154929</v>
      </c>
      <c r="AZ8" s="24">
        <v>4.3733888529670528</v>
      </c>
      <c r="BA8" s="24">
        <v>79.737488764914943</v>
      </c>
      <c r="BB8" s="24">
        <v>113.1080028467961</v>
      </c>
      <c r="BC8" s="24">
        <v>8.4048032617992376</v>
      </c>
      <c r="BD8" s="24">
        <v>15.405203941077261</v>
      </c>
      <c r="BE8" s="24">
        <v>30.184026234606211</v>
      </c>
      <c r="BF8" s="24">
        <v>44.323939343330707</v>
      </c>
      <c r="BG8" s="24">
        <v>57.978057910230582</v>
      </c>
      <c r="BH8" s="24">
        <v>85.887350783625365</v>
      </c>
      <c r="BI8" s="24">
        <v>64.794554655083161</v>
      </c>
      <c r="BJ8" s="24">
        <v>2.5951901565832749</v>
      </c>
      <c r="BK8" s="24">
        <v>7.4372487347432887</v>
      </c>
      <c r="BL8" s="24">
        <v>5.7936541679147071</v>
      </c>
      <c r="BM8" s="24">
        <v>7.2262099592543052</v>
      </c>
      <c r="BN8" s="24">
        <v>8.9223782236549436</v>
      </c>
      <c r="BO8" s="24">
        <v>0.96076561645556557</v>
      </c>
      <c r="BP8" s="24">
        <v>8.4048032617992376</v>
      </c>
      <c r="BQ8" s="24">
        <v>48.613044180680639</v>
      </c>
      <c r="BR8" s="24">
        <v>63.553966014239137</v>
      </c>
      <c r="BS8" s="24">
        <v>67.321236712415796</v>
      </c>
      <c r="BT8" s="24">
        <v>95.184834719945002</v>
      </c>
      <c r="BU8" s="24">
        <v>78.283547177465465</v>
      </c>
      <c r="BV8" s="24">
        <v>3.6273261585197409</v>
      </c>
      <c r="BW8" s="24">
        <v>344.88007382262418</v>
      </c>
      <c r="BX8" s="24">
        <v>7.0817796557089991</v>
      </c>
      <c r="BY8" s="24">
        <v>5.60246825891595</v>
      </c>
      <c r="BZ8" s="24">
        <v>6.9547184281292589</v>
      </c>
      <c r="CA8" s="24">
        <v>8.5704601188078389</v>
      </c>
      <c r="CB8" s="24">
        <v>1.496777381514E-4</v>
      </c>
      <c r="CC8" s="24">
        <v>0.6917845365528662</v>
      </c>
      <c r="CD8" s="24">
        <v>0.69409626632537225</v>
      </c>
      <c r="CE8" s="24">
        <v>10.94206995432579</v>
      </c>
      <c r="CF8" s="24">
        <v>336.7048454897751</v>
      </c>
      <c r="CG8" s="24">
        <v>337.98686012340738</v>
      </c>
      <c r="CH8" s="24">
        <v>340.68794602185392</v>
      </c>
      <c r="CI8" s="24">
        <v>337.573946025282</v>
      </c>
      <c r="CJ8" s="24">
        <v>337.91621997129232</v>
      </c>
      <c r="CK8" s="24">
        <v>337.98686012340738</v>
      </c>
      <c r="CL8" s="24">
        <v>338.27302609939301</v>
      </c>
      <c r="CM8" s="24">
        <v>338.90717980187497</v>
      </c>
      <c r="CN8" s="24">
        <v>339.59014043847441</v>
      </c>
      <c r="CO8" s="24">
        <v>340.36353612430742</v>
      </c>
      <c r="CP8" s="24">
        <v>340.71428918929848</v>
      </c>
      <c r="CQ8" s="24">
        <v>341.31385096552481</v>
      </c>
      <c r="CR8" s="24">
        <v>342.61293849776092</v>
      </c>
      <c r="CS8" s="24">
        <v>344.75135702438729</v>
      </c>
      <c r="CT8" s="24">
        <v>346.13306543595309</v>
      </c>
      <c r="CU8" s="24">
        <v>349.67440134601748</v>
      </c>
      <c r="CV8" s="24">
        <v>363.4939128736728</v>
      </c>
      <c r="CW8" s="24">
        <v>394.61075937655153</v>
      </c>
      <c r="CX8" s="24">
        <v>400.26770318592992</v>
      </c>
      <c r="CY8" s="24">
        <v>8.5847673306654588</v>
      </c>
      <c r="CZ8" s="24">
        <v>8.7039288923941545</v>
      </c>
      <c r="DA8" s="24">
        <v>8.7363876821105535</v>
      </c>
      <c r="DB8" s="24">
        <v>8.9061246908664256</v>
      </c>
      <c r="DC8" s="24">
        <v>9.3211495547902885</v>
      </c>
      <c r="DD8" s="24">
        <v>9.8826599295599937</v>
      </c>
      <c r="DE8" s="24">
        <v>10.691366733916571</v>
      </c>
      <c r="DF8" s="24">
        <v>11.124109039055281</v>
      </c>
      <c r="DG8" s="24">
        <v>11.952876478225679</v>
      </c>
      <c r="DH8" s="24">
        <v>14.14118515815335</v>
      </c>
      <c r="DI8" s="24">
        <v>18.510087182657141</v>
      </c>
      <c r="DJ8" s="24">
        <v>21.547408425034721</v>
      </c>
      <c r="DK8" s="24">
        <v>28.669587746642851</v>
      </c>
      <c r="DL8" s="24">
        <v>45.422894567663732</v>
      </c>
      <c r="DM8" s="24">
        <v>62.983474640259793</v>
      </c>
      <c r="DN8" s="24">
        <v>66.667203044764705</v>
      </c>
      <c r="DO8" s="24">
        <v>788.43169448121046</v>
      </c>
    </row>
    <row r="9" spans="1:119" x14ac:dyDescent="0.3">
      <c r="A9" s="24" t="s">
        <v>401</v>
      </c>
      <c r="B9" s="24" t="s">
        <v>428</v>
      </c>
      <c r="C9" s="24" t="s">
        <v>429</v>
      </c>
      <c r="D9" s="24">
        <v>6.0000000000000001E-3</v>
      </c>
      <c r="E9" s="24">
        <v>8.0000000000000007E-5</v>
      </c>
      <c r="F9" s="24">
        <v>2.7640400000000002E-3</v>
      </c>
      <c r="G9" s="24">
        <v>8.75</v>
      </c>
      <c r="H9" s="24">
        <v>7.4999999999999997E-2</v>
      </c>
      <c r="I9" s="24">
        <v>2.67</v>
      </c>
      <c r="J9" s="24">
        <v>293.14999999999998</v>
      </c>
      <c r="K9" s="24">
        <v>421.899</v>
      </c>
      <c r="L9" s="24">
        <v>80</v>
      </c>
      <c r="M9" s="24">
        <v>0.3</v>
      </c>
      <c r="N9" s="24">
        <v>0.13931339550839161</v>
      </c>
      <c r="O9" s="24">
        <v>3.1137991328667399E-2</v>
      </c>
      <c r="P9" s="24">
        <v>30.095802201433909</v>
      </c>
      <c r="Q9" s="24">
        <v>41.5430715230533</v>
      </c>
      <c r="R9" s="24">
        <v>50.331740560472639</v>
      </c>
      <c r="S9" s="24">
        <v>85.805235847437601</v>
      </c>
      <c r="T9" s="24">
        <v>61.576375486509967</v>
      </c>
      <c r="U9" s="24">
        <v>2.4940210676957291</v>
      </c>
      <c r="V9" s="24">
        <v>366.5382548475136</v>
      </c>
      <c r="W9" s="24">
        <v>7.0576375977711772</v>
      </c>
      <c r="X9" s="24">
        <v>5.636308918365434</v>
      </c>
      <c r="Y9" s="24">
        <v>6.9598961307758724</v>
      </c>
      <c r="Z9" s="24">
        <v>8.4201739607439876</v>
      </c>
      <c r="AA9" s="24">
        <v>6.8644138132529999E-4</v>
      </c>
      <c r="AB9" s="24">
        <v>1.1068449655356121</v>
      </c>
      <c r="AC9" s="24">
        <v>5.188778642833217</v>
      </c>
      <c r="AD9" s="24">
        <v>6.5699824487111673</v>
      </c>
      <c r="AE9" s="24">
        <v>4.5</v>
      </c>
      <c r="AF9" s="24">
        <v>0.17217626010543699</v>
      </c>
      <c r="AG9" s="24">
        <v>3.01976957405523E-2</v>
      </c>
      <c r="AH9" s="24">
        <v>85.911739950530958</v>
      </c>
      <c r="AI9" s="24">
        <v>70.227925115251892</v>
      </c>
      <c r="AJ9" s="24">
        <v>0.95265150175082303</v>
      </c>
      <c r="AK9" s="24">
        <v>2.492800661845052</v>
      </c>
      <c r="AL9" s="24">
        <v>6.7373505461347314</v>
      </c>
      <c r="AM9" s="24">
        <v>48.942431196624902</v>
      </c>
      <c r="AN9" s="24">
        <v>59.230076158806128</v>
      </c>
      <c r="AO9" s="24">
        <v>82.348401764269184</v>
      </c>
      <c r="AP9" s="24">
        <v>48.942431196624902</v>
      </c>
      <c r="AQ9" s="24">
        <v>40.715775012227439</v>
      </c>
      <c r="AR9" s="24">
        <v>0.6751321076044039</v>
      </c>
      <c r="AS9" s="24">
        <v>9.6666616835432677</v>
      </c>
      <c r="AT9" s="24">
        <v>97.335646288539223</v>
      </c>
      <c r="AU9" s="24">
        <v>3.2119172714230331</v>
      </c>
      <c r="AV9" s="24">
        <v>9.7644470218687864</v>
      </c>
      <c r="AW9" s="24">
        <v>10.944244919220351</v>
      </c>
      <c r="AX9" s="24">
        <v>5.2174826050716039</v>
      </c>
      <c r="AY9" s="24">
        <v>4.8181839268868396</v>
      </c>
      <c r="AZ9" s="24">
        <v>8.2715291024204962</v>
      </c>
      <c r="BA9" s="24">
        <v>91.426127477702565</v>
      </c>
      <c r="BB9" s="24">
        <v>127.7194260563778</v>
      </c>
      <c r="BC9" s="24">
        <v>7.0597730969132453</v>
      </c>
      <c r="BD9" s="24">
        <v>13.20527090713281</v>
      </c>
      <c r="BE9" s="24">
        <v>30.194039154219329</v>
      </c>
      <c r="BF9" s="24">
        <v>44.538639779980237</v>
      </c>
      <c r="BG9" s="24">
        <v>58.015408214601557</v>
      </c>
      <c r="BH9" s="24">
        <v>85.892525105553744</v>
      </c>
      <c r="BI9" s="24">
        <v>64.941061590808928</v>
      </c>
      <c r="BJ9" s="24">
        <v>2.5998814030245359</v>
      </c>
      <c r="BK9" s="24">
        <v>7.1034196425891167</v>
      </c>
      <c r="BL9" s="24">
        <v>5.6435717214294812</v>
      </c>
      <c r="BM9" s="24">
        <v>6.9893908458488401</v>
      </c>
      <c r="BN9" s="24">
        <v>8.5362373230293347</v>
      </c>
      <c r="BO9" s="24">
        <v>0.96006367386579883</v>
      </c>
      <c r="BP9" s="24">
        <v>7.0597730969132453</v>
      </c>
      <c r="BQ9" s="24">
        <v>49.476117092328529</v>
      </c>
      <c r="BR9" s="24">
        <v>67.116365098075349</v>
      </c>
      <c r="BS9" s="24">
        <v>67.345220484609968</v>
      </c>
      <c r="BT9" s="24">
        <v>95.2018230464505</v>
      </c>
      <c r="BU9" s="24">
        <v>80.586394372187939</v>
      </c>
      <c r="BV9" s="24">
        <v>3.9173732219552311</v>
      </c>
      <c r="BW9" s="24">
        <v>355.42239245586251</v>
      </c>
      <c r="BX9" s="24">
        <v>7.3170024677763577</v>
      </c>
      <c r="BY9" s="24">
        <v>5.7156297973079644</v>
      </c>
      <c r="BZ9" s="24">
        <v>7.1648302102577484</v>
      </c>
      <c r="CA9" s="24">
        <v>8.7953885901664002</v>
      </c>
      <c r="CB9" s="24">
        <v>1.4277062147700001E-4</v>
      </c>
      <c r="CC9" s="24">
        <v>0.67897477541960705</v>
      </c>
      <c r="CD9" s="24">
        <v>3.089281979714007</v>
      </c>
      <c r="CE9" s="24">
        <v>9.3447490259983841</v>
      </c>
      <c r="CF9" s="24">
        <v>345.64086924629868</v>
      </c>
      <c r="CG9" s="24">
        <v>347.0342076041623</v>
      </c>
      <c r="CH9" s="24">
        <v>350.16832125057277</v>
      </c>
      <c r="CI9" s="24">
        <v>346.56882289955178</v>
      </c>
      <c r="CJ9" s="24">
        <v>346.9559475096089</v>
      </c>
      <c r="CK9" s="24">
        <v>347.0342076041623</v>
      </c>
      <c r="CL9" s="24">
        <v>347.34884533141172</v>
      </c>
      <c r="CM9" s="24">
        <v>348.04872433995752</v>
      </c>
      <c r="CN9" s="24">
        <v>348.80732589258031</v>
      </c>
      <c r="CO9" s="24">
        <v>349.6854230015781</v>
      </c>
      <c r="CP9" s="24">
        <v>350.08483709483869</v>
      </c>
      <c r="CQ9" s="24">
        <v>350.76634792105767</v>
      </c>
      <c r="CR9" s="24">
        <v>352.23528824176162</v>
      </c>
      <c r="CS9" s="24">
        <v>354.59270135266962</v>
      </c>
      <c r="CT9" s="24">
        <v>356.10084437777488</v>
      </c>
      <c r="CU9" s="24">
        <v>359.80371071674051</v>
      </c>
      <c r="CV9" s="24">
        <v>376.2387852992054</v>
      </c>
      <c r="CW9" s="24">
        <v>411.38152206327521</v>
      </c>
      <c r="CX9" s="24">
        <v>417.31221804589791</v>
      </c>
      <c r="CY9" s="24">
        <v>7.2020137225737884</v>
      </c>
      <c r="CZ9" s="24">
        <v>7.3013095581757392</v>
      </c>
      <c r="DA9" s="24">
        <v>7.3283349588352973</v>
      </c>
      <c r="DB9" s="24">
        <v>7.470543122272769</v>
      </c>
      <c r="DC9" s="24">
        <v>7.8228735484399072</v>
      </c>
      <c r="DD9" s="24">
        <v>8.3085885460720537</v>
      </c>
      <c r="DE9" s="24">
        <v>9.0246055735804482</v>
      </c>
      <c r="DF9" s="24">
        <v>9.4130374136791097</v>
      </c>
      <c r="DG9" s="24">
        <v>10.15869324691722</v>
      </c>
      <c r="DH9" s="24">
        <v>12.15953160907441</v>
      </c>
      <c r="DI9" s="24">
        <v>16.22538391696137</v>
      </c>
      <c r="DJ9" s="24">
        <v>19.123228554886801</v>
      </c>
      <c r="DK9" s="24">
        <v>26.070368882789239</v>
      </c>
      <c r="DL9" s="24">
        <v>44.141239620343157</v>
      </c>
      <c r="DM9" s="24">
        <v>62.134209483724348</v>
      </c>
      <c r="DN9" s="24">
        <v>66.344074694979042</v>
      </c>
      <c r="DO9" s="24">
        <v>943.89605887287178</v>
      </c>
    </row>
    <row r="10" spans="1:119" x14ac:dyDescent="0.3">
      <c r="A10" s="24" t="s">
        <v>394</v>
      </c>
      <c r="B10" s="24" t="s">
        <v>428</v>
      </c>
      <c r="C10" s="24" t="s">
        <v>429</v>
      </c>
      <c r="D10" s="24">
        <v>6.0000000000000001E-3</v>
      </c>
      <c r="E10" s="24">
        <v>7.9803700000000003E-5</v>
      </c>
      <c r="F10" s="24">
        <v>2.41618E-3</v>
      </c>
      <c r="G10" s="24">
        <v>8.75</v>
      </c>
      <c r="H10" s="24">
        <v>7.4999999999999997E-2</v>
      </c>
      <c r="I10" s="24">
        <v>2.673</v>
      </c>
      <c r="J10" s="24">
        <v>293.14999999999998</v>
      </c>
      <c r="K10" s="24">
        <v>417.245</v>
      </c>
      <c r="L10" s="24">
        <v>80</v>
      </c>
      <c r="M10" s="24">
        <v>0.3</v>
      </c>
      <c r="N10" s="24">
        <v>0.11199623239287081</v>
      </c>
      <c r="O10" s="24">
        <v>2.80339421616463E-2</v>
      </c>
      <c r="P10" s="24">
        <v>30.121560703505931</v>
      </c>
      <c r="Q10" s="24">
        <v>41.688365383423381</v>
      </c>
      <c r="R10" s="24">
        <v>50.405660217004858</v>
      </c>
      <c r="S10" s="24">
        <v>85.851628139825863</v>
      </c>
      <c r="T10" s="24">
        <v>61.550044587809097</v>
      </c>
      <c r="U10" s="24">
        <v>2.5073583424877008</v>
      </c>
      <c r="V10" s="24">
        <v>367.6814612080758</v>
      </c>
      <c r="W10" s="24">
        <v>7.0992983245828301</v>
      </c>
      <c r="X10" s="24">
        <v>5.6582029586842912</v>
      </c>
      <c r="Y10" s="24">
        <v>6.9518747306644748</v>
      </c>
      <c r="Z10" s="24">
        <v>8.439459158483805</v>
      </c>
      <c r="AA10" s="24">
        <v>6.0750555031610003E-4</v>
      </c>
      <c r="AB10" s="24">
        <v>1.105631137384028</v>
      </c>
      <c r="AC10" s="24">
        <v>5.6168395983418913</v>
      </c>
      <c r="AD10" s="24">
        <v>5.9125898528336336</v>
      </c>
      <c r="AE10" s="24">
        <v>4.5</v>
      </c>
      <c r="AF10" s="24">
        <v>0.16189251419509659</v>
      </c>
      <c r="AG10" s="24">
        <v>2.72694713782498E-2</v>
      </c>
      <c r="AH10" s="24">
        <v>77.689276505514002</v>
      </c>
      <c r="AI10" s="24">
        <v>60.522507449430741</v>
      </c>
      <c r="AJ10" s="24">
        <v>1.007478186141664</v>
      </c>
      <c r="AK10" s="24">
        <v>2.2732509767804392</v>
      </c>
      <c r="AL10" s="24">
        <v>5.9108941813660447</v>
      </c>
      <c r="AM10" s="24">
        <v>44.640953078432688</v>
      </c>
      <c r="AN10" s="24">
        <v>55.444850194198523</v>
      </c>
      <c r="AO10" s="24">
        <v>83.410591300985658</v>
      </c>
      <c r="AP10" s="24">
        <v>44.640953078432688</v>
      </c>
      <c r="AQ10" s="24">
        <v>44.450197860446991</v>
      </c>
      <c r="AR10" s="24">
        <v>0.63362104159096932</v>
      </c>
      <c r="AS10" s="24">
        <v>10.275228019529351</v>
      </c>
      <c r="AT10" s="24">
        <v>99.109266678757535</v>
      </c>
      <c r="AU10" s="24">
        <v>2.7867630662806819</v>
      </c>
      <c r="AV10" s="24">
        <v>9.4114832206759438</v>
      </c>
      <c r="AW10" s="24">
        <v>12.15795487043421</v>
      </c>
      <c r="AX10" s="24">
        <v>5.7320159276820624</v>
      </c>
      <c r="AY10" s="24">
        <v>5.2685994039037816</v>
      </c>
      <c r="AZ10" s="24">
        <v>8.2893466223176002</v>
      </c>
      <c r="BA10" s="24">
        <v>92.803187398072879</v>
      </c>
      <c r="BB10" s="24">
        <v>124.5033488208541</v>
      </c>
      <c r="BC10" s="24">
        <v>6.3618134037242919</v>
      </c>
      <c r="BD10" s="24">
        <v>12.10721858757676</v>
      </c>
      <c r="BE10" s="24">
        <v>30.226228191145228</v>
      </c>
      <c r="BF10" s="24">
        <v>44.435520284976569</v>
      </c>
      <c r="BG10" s="24">
        <v>58.084769018512397</v>
      </c>
      <c r="BH10" s="24">
        <v>85.988966111351715</v>
      </c>
      <c r="BI10" s="24">
        <v>64.745167138995171</v>
      </c>
      <c r="BJ10" s="24">
        <v>2.5971974917344229</v>
      </c>
      <c r="BK10" s="24">
        <v>7.116978311859163</v>
      </c>
      <c r="BL10" s="24">
        <v>5.6685777656072851</v>
      </c>
      <c r="BM10" s="24">
        <v>6.9775664247238094</v>
      </c>
      <c r="BN10" s="24">
        <v>8.4771561699493301</v>
      </c>
      <c r="BO10" s="24">
        <v>0.96002340824380583</v>
      </c>
      <c r="BP10" s="24">
        <v>6.3618134037242919</v>
      </c>
      <c r="BQ10" s="24">
        <v>48.806268624288478</v>
      </c>
      <c r="BR10" s="24">
        <v>66.453421695913576</v>
      </c>
      <c r="BS10" s="24">
        <v>67.433475608847672</v>
      </c>
      <c r="BT10" s="24">
        <v>101.8231118733348</v>
      </c>
      <c r="BU10" s="24">
        <v>80.618790598770715</v>
      </c>
      <c r="BV10" s="24">
        <v>3.8347461857525138</v>
      </c>
      <c r="BW10" s="24">
        <v>357.26352623908821</v>
      </c>
      <c r="BX10" s="24">
        <v>7.2058722694238142</v>
      </c>
      <c r="BY10" s="24">
        <v>5.7116322112678306</v>
      </c>
      <c r="BZ10" s="24">
        <v>7.1575378062029253</v>
      </c>
      <c r="CA10" s="24">
        <v>8.678407319505828</v>
      </c>
      <c r="CB10" s="24">
        <v>1.1734843393460001E-4</v>
      </c>
      <c r="CC10" s="24">
        <v>0.78620956090968808</v>
      </c>
      <c r="CD10" s="24">
        <v>3.5176677667454999</v>
      </c>
      <c r="CE10" s="24">
        <v>8.6204835399506976</v>
      </c>
      <c r="CF10" s="24">
        <v>348.44071315150933</v>
      </c>
      <c r="CG10" s="24">
        <v>349.90225284968409</v>
      </c>
      <c r="CH10" s="24">
        <v>353.1925185756063</v>
      </c>
      <c r="CI10" s="24">
        <v>349.41721676277803</v>
      </c>
      <c r="CJ10" s="24">
        <v>349.82166576683352</v>
      </c>
      <c r="CK10" s="24">
        <v>349.90225284968409</v>
      </c>
      <c r="CL10" s="24">
        <v>350.22903290208171</v>
      </c>
      <c r="CM10" s="24">
        <v>350.94909770955172</v>
      </c>
      <c r="CN10" s="24">
        <v>351.72383086641531</v>
      </c>
      <c r="CO10" s="24">
        <v>352.60997023289411</v>
      </c>
      <c r="CP10" s="24">
        <v>353.00834439768659</v>
      </c>
      <c r="CQ10" s="24">
        <v>353.67887622482999</v>
      </c>
      <c r="CR10" s="24">
        <v>355.09075053509332</v>
      </c>
      <c r="CS10" s="24">
        <v>357.26841513046458</v>
      </c>
      <c r="CT10" s="24">
        <v>358.62953515682159</v>
      </c>
      <c r="CU10" s="24">
        <v>361.94280010590569</v>
      </c>
      <c r="CV10" s="24">
        <v>376.5522503947646</v>
      </c>
      <c r="CW10" s="24">
        <v>407.51219070350197</v>
      </c>
      <c r="CX10" s="24">
        <v>412.9773342614065</v>
      </c>
      <c r="CY10" s="24">
        <v>6.4975532225080679</v>
      </c>
      <c r="CZ10" s="24">
        <v>6.592837257379693</v>
      </c>
      <c r="DA10" s="24">
        <v>6.6187656302727254</v>
      </c>
      <c r="DB10" s="24">
        <v>6.7552157839339966</v>
      </c>
      <c r="DC10" s="24">
        <v>7.0924390251228333</v>
      </c>
      <c r="DD10" s="24">
        <v>7.5579458389302214</v>
      </c>
      <c r="DE10" s="24">
        <v>8.2451530293721369</v>
      </c>
      <c r="DF10" s="24">
        <v>8.6177373368851757</v>
      </c>
      <c r="DG10" s="24">
        <v>9.3338856003045088</v>
      </c>
      <c r="DH10" s="24">
        <v>11.2714231415789</v>
      </c>
      <c r="DI10" s="24">
        <v>15.26734988965614</v>
      </c>
      <c r="DJ10" s="24">
        <v>18.145221131954891</v>
      </c>
      <c r="DK10" s="24">
        <v>25.162602431522391</v>
      </c>
      <c r="DL10" s="24">
        <v>43.698684325181439</v>
      </c>
      <c r="DM10" s="24">
        <v>61.989633435811889</v>
      </c>
      <c r="DN10" s="24">
        <v>66.277805863372436</v>
      </c>
      <c r="DO10" s="24">
        <v>967.051360944198</v>
      </c>
    </row>
    <row r="11" spans="1:119" x14ac:dyDescent="0.3">
      <c r="A11" s="24" t="s">
        <v>376</v>
      </c>
      <c r="B11" s="24" t="s">
        <v>428</v>
      </c>
      <c r="C11" s="24" t="s">
        <v>429</v>
      </c>
      <c r="D11" s="24">
        <v>6.0000000000000001E-3</v>
      </c>
      <c r="E11" s="24">
        <v>8.0000000000000007E-5</v>
      </c>
      <c r="F11" s="24">
        <v>2.8197299999999999E-3</v>
      </c>
      <c r="G11" s="24">
        <v>8.75</v>
      </c>
      <c r="H11" s="24">
        <v>7.4999999999999997E-2</v>
      </c>
      <c r="I11" s="24">
        <v>2.67</v>
      </c>
      <c r="J11" s="24">
        <v>293.14999999999998</v>
      </c>
      <c r="K11" s="24">
        <v>406.77800000000002</v>
      </c>
      <c r="L11" s="24">
        <v>80</v>
      </c>
      <c r="M11" s="24">
        <v>0.3</v>
      </c>
      <c r="N11" s="24">
        <v>0.2426064809868626</v>
      </c>
      <c r="O11" s="24">
        <v>3.1307247754473203E-2</v>
      </c>
      <c r="P11" s="24">
        <v>30.056895422228401</v>
      </c>
      <c r="Q11" s="24">
        <v>41.415281782457569</v>
      </c>
      <c r="R11" s="24">
        <v>50.30706116790337</v>
      </c>
      <c r="S11" s="24">
        <v>85.783992371809958</v>
      </c>
      <c r="T11" s="24">
        <v>61.484430816894182</v>
      </c>
      <c r="U11" s="24">
        <v>2.4904769212007789</v>
      </c>
      <c r="V11" s="24">
        <v>352.20449583428069</v>
      </c>
      <c r="W11" s="24">
        <v>7.0189391920881787</v>
      </c>
      <c r="X11" s="24">
        <v>5.631851949784128</v>
      </c>
      <c r="Y11" s="24">
        <v>6.931260136213651</v>
      </c>
      <c r="Z11" s="24">
        <v>8.2927083885863375</v>
      </c>
      <c r="AA11" s="24">
        <v>6.9676363816679999E-4</v>
      </c>
      <c r="AB11" s="24">
        <v>1.107739065965083</v>
      </c>
      <c r="AC11" s="24">
        <v>0.865528575078651</v>
      </c>
      <c r="AD11" s="24">
        <v>8.9082084431649893</v>
      </c>
      <c r="AE11" s="24">
        <v>4.5</v>
      </c>
      <c r="AF11" s="24">
        <v>0.17632342676359219</v>
      </c>
      <c r="AG11" s="24">
        <v>3.0356858077590702E-2</v>
      </c>
      <c r="AH11" s="24">
        <v>94.253709160423682</v>
      </c>
      <c r="AI11" s="24">
        <v>90.660236449510961</v>
      </c>
      <c r="AJ11" s="24">
        <v>0.36128673100953579</v>
      </c>
      <c r="AK11" s="24">
        <v>0.89445398961917055</v>
      </c>
      <c r="AL11" s="24">
        <v>6.7825146757991872</v>
      </c>
      <c r="AM11" s="24">
        <v>55.318199599879812</v>
      </c>
      <c r="AN11" s="24">
        <v>64.70279131116574</v>
      </c>
      <c r="AO11" s="24">
        <v>81.765677909247756</v>
      </c>
      <c r="AP11" s="24">
        <v>55.318199599879812</v>
      </c>
      <c r="AQ11" s="24">
        <v>35.218869633329327</v>
      </c>
      <c r="AR11" s="24">
        <v>0.63788819242232397</v>
      </c>
      <c r="AS11" s="24">
        <v>8.8250425743685241</v>
      </c>
      <c r="AT11" s="24">
        <v>55.443818270379431</v>
      </c>
      <c r="AU11" s="24">
        <v>3.367733438197023</v>
      </c>
      <c r="AV11" s="24">
        <v>8.6176559522862846</v>
      </c>
      <c r="AW11" s="24">
        <v>9.2120002956171181</v>
      </c>
      <c r="AX11" s="24">
        <v>4.5740500258593402</v>
      </c>
      <c r="AY11" s="24">
        <v>0.76689861931297731</v>
      </c>
      <c r="AZ11" s="24">
        <v>2.4960956785512618</v>
      </c>
      <c r="BA11" s="24">
        <v>77.084849692250671</v>
      </c>
      <c r="BB11" s="24">
        <v>112.11777237455971</v>
      </c>
      <c r="BC11" s="24">
        <v>9.5739477044133032</v>
      </c>
      <c r="BD11" s="24">
        <v>17.65113929293987</v>
      </c>
      <c r="BE11" s="24">
        <v>30.167040961678659</v>
      </c>
      <c r="BF11" s="24">
        <v>44.408786416017918</v>
      </c>
      <c r="BG11" s="24">
        <v>57.973948032773599</v>
      </c>
      <c r="BH11" s="24">
        <v>85.883421952872624</v>
      </c>
      <c r="BI11" s="24">
        <v>64.895067119685621</v>
      </c>
      <c r="BJ11" s="24">
        <v>2.592818557961063</v>
      </c>
      <c r="BK11" s="24">
        <v>7.05311488146143</v>
      </c>
      <c r="BL11" s="24">
        <v>5.6367620622304742</v>
      </c>
      <c r="BM11" s="24">
        <v>6.9610475721217764</v>
      </c>
      <c r="BN11" s="24">
        <v>8.378695481256015</v>
      </c>
      <c r="BO11" s="24">
        <v>0.96105893908927165</v>
      </c>
      <c r="BP11" s="24">
        <v>9.5739477044132997</v>
      </c>
      <c r="BQ11" s="24">
        <v>48.727569772902889</v>
      </c>
      <c r="BR11" s="24">
        <v>65.704764925318685</v>
      </c>
      <c r="BS11" s="24">
        <v>67.308603800582574</v>
      </c>
      <c r="BT11" s="24">
        <v>95.219500865844324</v>
      </c>
      <c r="BU11" s="24">
        <v>80.107499178488609</v>
      </c>
      <c r="BV11" s="24">
        <v>3.777110766677787</v>
      </c>
      <c r="BW11" s="24">
        <v>341.40263474930492</v>
      </c>
      <c r="BX11" s="24">
        <v>7.2063642534815173</v>
      </c>
      <c r="BY11" s="24">
        <v>5.6725310034822014</v>
      </c>
      <c r="BZ11" s="24">
        <v>7.0434817307004387</v>
      </c>
      <c r="CA11" s="24">
        <v>8.802201040728372</v>
      </c>
      <c r="CB11" s="24">
        <v>1.491553314951E-4</v>
      </c>
      <c r="CC11" s="24">
        <v>0.69072790799055372</v>
      </c>
      <c r="CD11" s="24">
        <v>0.3246257914446215</v>
      </c>
      <c r="CE11" s="24">
        <v>12.55923126668937</v>
      </c>
      <c r="CF11" s="24">
        <v>333.25751228894859</v>
      </c>
      <c r="CG11" s="24">
        <v>334.36949757388987</v>
      </c>
      <c r="CH11" s="24">
        <v>336.84268913235928</v>
      </c>
      <c r="CI11" s="24">
        <v>333.99075341356371</v>
      </c>
      <c r="CJ11" s="24">
        <v>334.30440179502602</v>
      </c>
      <c r="CK11" s="24">
        <v>334.36949757388987</v>
      </c>
      <c r="CL11" s="24">
        <v>334.63528464373428</v>
      </c>
      <c r="CM11" s="24">
        <v>335.23543351543168</v>
      </c>
      <c r="CN11" s="24">
        <v>335.90626992217489</v>
      </c>
      <c r="CO11" s="24">
        <v>336.71122440763628</v>
      </c>
      <c r="CP11" s="24">
        <v>337.0898067669508</v>
      </c>
      <c r="CQ11" s="24">
        <v>337.75207021150692</v>
      </c>
      <c r="CR11" s="24">
        <v>339.2394125483691</v>
      </c>
      <c r="CS11" s="24">
        <v>341.77361395607147</v>
      </c>
      <c r="CT11" s="24">
        <v>343.41608472657668</v>
      </c>
      <c r="CU11" s="24">
        <v>347.29910887252601</v>
      </c>
      <c r="CV11" s="24">
        <v>363.18476493593067</v>
      </c>
      <c r="CW11" s="24">
        <v>397.23723428603938</v>
      </c>
      <c r="CX11" s="24">
        <v>402.65817197940208</v>
      </c>
      <c r="CY11" s="24">
        <v>9.7601599693318093</v>
      </c>
      <c r="CZ11" s="24">
        <v>9.8880720373847897</v>
      </c>
      <c r="DA11" s="24">
        <v>9.9229123811126048</v>
      </c>
      <c r="DB11" s="24">
        <v>10.105852347106049</v>
      </c>
      <c r="DC11" s="24">
        <v>10.556158430822279</v>
      </c>
      <c r="DD11" s="24">
        <v>11.17209983098795</v>
      </c>
      <c r="DE11" s="24">
        <v>12.06717152437726</v>
      </c>
      <c r="DF11" s="24">
        <v>12.54716014772584</v>
      </c>
      <c r="DG11" s="24">
        <v>13.46000358565067</v>
      </c>
      <c r="DH11" s="24">
        <v>15.836563793963039</v>
      </c>
      <c r="DI11" s="24">
        <v>20.388472354851231</v>
      </c>
      <c r="DJ11" s="24">
        <v>23.445419392693719</v>
      </c>
      <c r="DK11" s="24">
        <v>30.3067822545603</v>
      </c>
      <c r="DL11" s="24">
        <v>46.78675414886051</v>
      </c>
      <c r="DM11" s="24">
        <v>62.985946579474401</v>
      </c>
      <c r="DN11" s="24">
        <v>66.721711991961115</v>
      </c>
      <c r="DO11" s="24">
        <v>760.51180670186807</v>
      </c>
    </row>
    <row r="12" spans="1:119" x14ac:dyDescent="0.3">
      <c r="A12" s="24" t="s">
        <v>433</v>
      </c>
      <c r="B12" s="24" t="s">
        <v>431</v>
      </c>
      <c r="C12" s="24" t="s">
        <v>429</v>
      </c>
      <c r="D12" s="24">
        <v>6.0000000000000001E-3</v>
      </c>
      <c r="E12" s="24">
        <v>8.0000000000000007E-5</v>
      </c>
      <c r="F12" s="24">
        <v>2.8197299999999999E-3</v>
      </c>
      <c r="G12" s="24">
        <v>8.75</v>
      </c>
      <c r="H12" s="24">
        <v>7.4999999999999997E-2</v>
      </c>
      <c r="I12" s="24">
        <v>2.67</v>
      </c>
      <c r="J12" s="24">
        <v>293.14999999999998</v>
      </c>
      <c r="K12" s="24">
        <v>406.77800000000002</v>
      </c>
      <c r="L12" s="24">
        <v>80</v>
      </c>
      <c r="M12" s="24">
        <v>0.3</v>
      </c>
      <c r="N12" s="24">
        <v>0.24031954793763971</v>
      </c>
      <c r="O12" s="24">
        <v>3.1286551006270501E-2</v>
      </c>
      <c r="P12" s="24">
        <v>21.666059609271979</v>
      </c>
      <c r="Q12" s="24">
        <v>40.852666682890401</v>
      </c>
      <c r="R12" s="24">
        <v>50.204081190656282</v>
      </c>
      <c r="S12" s="24">
        <v>85.803824847089544</v>
      </c>
      <c r="T12" s="24">
        <v>61.068526255275557</v>
      </c>
      <c r="U12" s="24">
        <v>2.4607460459616859</v>
      </c>
      <c r="V12" s="24">
        <v>353.27029865394042</v>
      </c>
      <c r="W12" s="24">
        <v>7.6389143600862983</v>
      </c>
      <c r="X12" s="24">
        <v>5.8859939836347719</v>
      </c>
      <c r="Y12" s="24">
        <v>7.2934458823016977</v>
      </c>
      <c r="Z12" s="24">
        <v>9.3601881652906886</v>
      </c>
      <c r="AA12" s="24">
        <v>6.6423229110469998E-4</v>
      </c>
      <c r="AB12" s="24">
        <v>1.277540863545463</v>
      </c>
      <c r="AC12" s="24">
        <v>1.150930595976221</v>
      </c>
      <c r="AD12" s="24">
        <v>8.5655906046202812</v>
      </c>
      <c r="AE12" s="24">
        <v>4.5</v>
      </c>
      <c r="AF12" s="24">
        <v>0.21395312606630931</v>
      </c>
      <c r="AG12" s="24">
        <v>3.0337398442501599E-2</v>
      </c>
      <c r="AH12" s="24">
        <v>91.591246691231675</v>
      </c>
      <c r="AI12" s="24">
        <v>87.837035329509845</v>
      </c>
      <c r="AJ12" s="24">
        <v>0.398508359335914</v>
      </c>
      <c r="AK12" s="24">
        <v>1.129271859907832</v>
      </c>
      <c r="AL12" s="24">
        <v>6.7865935184634996</v>
      </c>
      <c r="AM12" s="24">
        <v>55.359326764814838</v>
      </c>
      <c r="AN12" s="24">
        <v>64.534591431838095</v>
      </c>
      <c r="AO12" s="24">
        <v>77.917903140496335</v>
      </c>
      <c r="AP12" s="24">
        <v>55.359326764814838</v>
      </c>
      <c r="AQ12" s="24">
        <v>35.25961290093106</v>
      </c>
      <c r="AR12" s="24">
        <v>0.65294512160366525</v>
      </c>
      <c r="AS12" s="24">
        <v>8.7281152126504331</v>
      </c>
      <c r="AT12" s="24">
        <v>56.484880137784351</v>
      </c>
      <c r="AU12" s="24">
        <v>3.3599499227985619</v>
      </c>
      <c r="AV12" s="24">
        <v>8.6176559522862846</v>
      </c>
      <c r="AW12" s="24">
        <v>9.2333404190710517</v>
      </c>
      <c r="AX12" s="24">
        <v>4.5713009544226288</v>
      </c>
      <c r="AY12" s="24">
        <v>1.0173464938439201</v>
      </c>
      <c r="AZ12" s="24">
        <v>4.2681083343146264</v>
      </c>
      <c r="BA12" s="24">
        <v>77.724565541343978</v>
      </c>
      <c r="BB12" s="24">
        <v>114.540747236059</v>
      </c>
      <c r="BC12" s="24">
        <v>9.3644706030764873</v>
      </c>
      <c r="BD12" s="24">
        <v>17.30464188838782</v>
      </c>
      <c r="BE12" s="24">
        <v>30.181641247433699</v>
      </c>
      <c r="BF12" s="24">
        <v>44.447189576619259</v>
      </c>
      <c r="BG12" s="24">
        <v>57.983877333269191</v>
      </c>
      <c r="BH12" s="24">
        <v>85.887810913297699</v>
      </c>
      <c r="BI12" s="24">
        <v>64.938367959855412</v>
      </c>
      <c r="BJ12" s="24">
        <v>2.5988738274800922</v>
      </c>
      <c r="BK12" s="24">
        <v>7.5205270203167256</v>
      </c>
      <c r="BL12" s="24">
        <v>5.7756650141304942</v>
      </c>
      <c r="BM12" s="24">
        <v>7.1756480284061368</v>
      </c>
      <c r="BN12" s="24">
        <v>9.2361851037978084</v>
      </c>
      <c r="BO12" s="24">
        <v>0.9607182587270976</v>
      </c>
      <c r="BP12" s="24">
        <v>9.3644706030764873</v>
      </c>
      <c r="BQ12" s="24">
        <v>48.621749172827101</v>
      </c>
      <c r="BR12" s="24">
        <v>64.460000620413169</v>
      </c>
      <c r="BS12" s="24">
        <v>67.294743463706581</v>
      </c>
      <c r="BT12" s="24">
        <v>95.184729673551416</v>
      </c>
      <c r="BU12" s="24">
        <v>78.706418177585988</v>
      </c>
      <c r="BV12" s="24">
        <v>3.741400407039996</v>
      </c>
      <c r="BW12" s="24">
        <v>342.42108841888381</v>
      </c>
      <c r="BX12" s="24">
        <v>7.1027907277935638</v>
      </c>
      <c r="BY12" s="24">
        <v>5.5070913281935914</v>
      </c>
      <c r="BZ12" s="24">
        <v>6.8522563219089054</v>
      </c>
      <c r="CA12" s="24">
        <v>8.6852269356690037</v>
      </c>
      <c r="CB12" s="24">
        <v>1.807965654832E-4</v>
      </c>
      <c r="CC12" s="24">
        <v>0.69192596782595173</v>
      </c>
      <c r="CD12" s="24">
        <v>0.54598758271881598</v>
      </c>
      <c r="CE12" s="24">
        <v>12.183362972611629</v>
      </c>
      <c r="CF12" s="24">
        <v>333.44863444783101</v>
      </c>
      <c r="CG12" s="24">
        <v>334.6690728138114</v>
      </c>
      <c r="CH12" s="24">
        <v>337.19986768564542</v>
      </c>
      <c r="CI12" s="24">
        <v>334.27266774407309</v>
      </c>
      <c r="CJ12" s="24">
        <v>334.59923787931041</v>
      </c>
      <c r="CK12" s="24">
        <v>334.6690728138114</v>
      </c>
      <c r="CL12" s="24">
        <v>334.95155797281029</v>
      </c>
      <c r="CM12" s="24">
        <v>335.57619580124918</v>
      </c>
      <c r="CN12" s="24">
        <v>336.24579346432108</v>
      </c>
      <c r="CO12" s="24">
        <v>337.01929396541431</v>
      </c>
      <c r="CP12" s="24">
        <v>337.37660927320792</v>
      </c>
      <c r="CQ12" s="24">
        <v>337.9876076944754</v>
      </c>
      <c r="CR12" s="24">
        <v>339.33892176720587</v>
      </c>
      <c r="CS12" s="24">
        <v>341.62190098178138</v>
      </c>
      <c r="CT12" s="24">
        <v>343.15929005512999</v>
      </c>
      <c r="CU12" s="24">
        <v>346.99601089654351</v>
      </c>
      <c r="CV12" s="24">
        <v>361.63471175164011</v>
      </c>
      <c r="CW12" s="24">
        <v>396.10547457360269</v>
      </c>
      <c r="CX12" s="24">
        <v>402.52892277752699</v>
      </c>
      <c r="CY12" s="24">
        <v>9.5555211729500513</v>
      </c>
      <c r="CZ12" s="24">
        <v>9.6819239428274404</v>
      </c>
      <c r="DA12" s="24">
        <v>9.7161162674656527</v>
      </c>
      <c r="DB12" s="24">
        <v>9.894925217330206</v>
      </c>
      <c r="DC12" s="24">
        <v>10.332394806651759</v>
      </c>
      <c r="DD12" s="24">
        <v>10.92377299551543</v>
      </c>
      <c r="DE12" s="24">
        <v>11.76893547164771</v>
      </c>
      <c r="DF12" s="24">
        <v>12.217624812780381</v>
      </c>
      <c r="DG12" s="24">
        <v>13.074738059696051</v>
      </c>
      <c r="DH12" s="24">
        <v>15.309002323892461</v>
      </c>
      <c r="DI12" s="24">
        <v>19.71014998380247</v>
      </c>
      <c r="DJ12" s="24">
        <v>22.701199417398559</v>
      </c>
      <c r="DK12" s="24">
        <v>29.645683643339421</v>
      </c>
      <c r="DL12" s="24">
        <v>44.500982841043893</v>
      </c>
      <c r="DM12" s="24">
        <v>63.186447310578473</v>
      </c>
      <c r="DN12" s="24">
        <v>66.758371737469275</v>
      </c>
      <c r="DO12" s="24">
        <v>752.15894014537469</v>
      </c>
    </row>
    <row r="13" spans="1:119" x14ac:dyDescent="0.3">
      <c r="A13" s="24" t="s">
        <v>379</v>
      </c>
      <c r="B13" s="24" t="s">
        <v>428</v>
      </c>
      <c r="C13" s="24" t="s">
        <v>429</v>
      </c>
      <c r="D13" s="24">
        <v>6.0000000000000001E-3</v>
      </c>
      <c r="E13" s="24">
        <v>7.3654399999999997E-5</v>
      </c>
      <c r="F13" s="24">
        <v>2.27078E-3</v>
      </c>
      <c r="G13" s="24">
        <v>8.75</v>
      </c>
      <c r="H13" s="24">
        <v>7.4999999999999997E-2</v>
      </c>
      <c r="I13" s="24">
        <v>2.7669600000000001</v>
      </c>
      <c r="J13" s="24">
        <v>293.14999999999998</v>
      </c>
      <c r="K13" s="24">
        <v>408.31799999999998</v>
      </c>
      <c r="L13" s="24">
        <v>80</v>
      </c>
      <c r="M13" s="24">
        <v>0.3</v>
      </c>
      <c r="N13" s="24">
        <v>0.1282977262879588</v>
      </c>
      <c r="O13" s="24">
        <v>2.66958982133851E-2</v>
      </c>
      <c r="P13" s="24">
        <v>22.365038193231111</v>
      </c>
      <c r="Q13" s="24">
        <v>39.287659688761842</v>
      </c>
      <c r="R13" s="24">
        <v>50.887530528115818</v>
      </c>
      <c r="S13" s="24">
        <v>79.513242561112691</v>
      </c>
      <c r="T13" s="24">
        <v>56.791659053257419</v>
      </c>
      <c r="U13" s="24">
        <v>2.5694641290625468</v>
      </c>
      <c r="V13" s="24">
        <v>362.11207751886218</v>
      </c>
      <c r="W13" s="24">
        <v>7.2526127114731862</v>
      </c>
      <c r="X13" s="24">
        <v>5.8608747824304288</v>
      </c>
      <c r="Y13" s="24">
        <v>7.0745825680906052</v>
      </c>
      <c r="Z13" s="24">
        <v>8.5958320245052864</v>
      </c>
      <c r="AA13" s="24">
        <v>5.7820804105949996E-4</v>
      </c>
      <c r="AB13" s="24">
        <v>1.123029625819761</v>
      </c>
      <c r="AC13" s="24">
        <v>5.2180133460745282</v>
      </c>
      <c r="AD13" s="24">
        <v>5.9923563981300711</v>
      </c>
      <c r="AE13" s="24">
        <v>4</v>
      </c>
      <c r="AF13" s="24">
        <v>0.1512342947708317</v>
      </c>
      <c r="AG13" s="24">
        <v>2.6001757930308501E-2</v>
      </c>
      <c r="AH13" s="24">
        <v>82.990450678937648</v>
      </c>
      <c r="AI13" s="24">
        <v>64.307035006064822</v>
      </c>
      <c r="AJ13" s="24">
        <v>0.70409388072023571</v>
      </c>
      <c r="AK13" s="24">
        <v>1.459540061482967</v>
      </c>
      <c r="AL13" s="24">
        <v>5.5537563992163186</v>
      </c>
      <c r="AM13" s="24">
        <v>45.051683772856002</v>
      </c>
      <c r="AN13" s="24">
        <v>55.73662166784446</v>
      </c>
      <c r="AO13" s="24">
        <v>84.557515864328195</v>
      </c>
      <c r="AP13" s="24">
        <v>45.051683772856002</v>
      </c>
      <c r="AQ13" s="24">
        <v>44.138189996826341</v>
      </c>
      <c r="AR13" s="24">
        <v>0.5996273500491911</v>
      </c>
      <c r="AS13" s="24">
        <v>10.21049888026846</v>
      </c>
      <c r="AT13" s="24">
        <v>97.817514962954561</v>
      </c>
      <c r="AU13" s="24">
        <v>2.618612621595521</v>
      </c>
      <c r="AV13" s="24">
        <v>8.7344510218687859</v>
      </c>
      <c r="AW13" s="24">
        <v>12.00789434046521</v>
      </c>
      <c r="AX13" s="24">
        <v>5.6617578119135077</v>
      </c>
      <c r="AY13" s="24">
        <v>4.8697804583411086</v>
      </c>
      <c r="AZ13" s="24">
        <v>8.2065749898408171</v>
      </c>
      <c r="BA13" s="24">
        <v>87.61202930324653</v>
      </c>
      <c r="BB13" s="24">
        <v>117.3605994216126</v>
      </c>
      <c r="BC13" s="24">
        <v>6.3457351509393431</v>
      </c>
      <c r="BD13" s="24">
        <v>11.4397120252306</v>
      </c>
      <c r="BE13" s="24">
        <v>22.96078122582756</v>
      </c>
      <c r="BF13" s="24">
        <v>41.53104785107584</v>
      </c>
      <c r="BG13" s="24">
        <v>50.971008914861471</v>
      </c>
      <c r="BH13" s="24">
        <v>79.58624508797655</v>
      </c>
      <c r="BI13" s="24">
        <v>59.422441209896547</v>
      </c>
      <c r="BJ13" s="24">
        <v>2.622321414739464</v>
      </c>
      <c r="BK13" s="24">
        <v>7.3250117799979568</v>
      </c>
      <c r="BL13" s="24">
        <v>5.9087995992648912</v>
      </c>
      <c r="BM13" s="24">
        <v>7.120373534421641</v>
      </c>
      <c r="BN13" s="24">
        <v>8.6896565713861538</v>
      </c>
      <c r="BO13" s="24">
        <v>1.110934726772475</v>
      </c>
      <c r="BP13" s="24">
        <v>6.345735150939344</v>
      </c>
      <c r="BQ13" s="24">
        <v>41.398848181314698</v>
      </c>
      <c r="BR13" s="24">
        <v>60.423554656933959</v>
      </c>
      <c r="BS13" s="24">
        <v>68.214805273888032</v>
      </c>
      <c r="BT13" s="24">
        <v>89.154586424963711</v>
      </c>
      <c r="BU13" s="24">
        <v>73.150329957489163</v>
      </c>
      <c r="BV13" s="24">
        <v>4.0025407465180436</v>
      </c>
      <c r="BW13" s="24">
        <v>353.36964849154589</v>
      </c>
      <c r="BX13" s="24">
        <v>7.7214431657491991</v>
      </c>
      <c r="BY13" s="24">
        <v>6.1326008277289157</v>
      </c>
      <c r="BZ13" s="24">
        <v>7.4155618331740909</v>
      </c>
      <c r="CA13" s="24">
        <v>9.0101983711489044</v>
      </c>
      <c r="CB13" s="24">
        <v>1.03025940824E-4</v>
      </c>
      <c r="CC13" s="24">
        <v>0.70007878864281459</v>
      </c>
      <c r="CD13" s="24">
        <v>2.9629818066280409</v>
      </c>
      <c r="CE13" s="24">
        <v>8.2807107179702033</v>
      </c>
      <c r="CF13" s="24">
        <v>344.12724755757688</v>
      </c>
      <c r="CG13" s="24">
        <v>345.48327980947289</v>
      </c>
      <c r="CH13" s="24">
        <v>348.51544850303128</v>
      </c>
      <c r="CI13" s="24">
        <v>345.03623862495658</v>
      </c>
      <c r="CJ13" s="24">
        <v>345.40989772215079</v>
      </c>
      <c r="CK13" s="24">
        <v>345.48327980947289</v>
      </c>
      <c r="CL13" s="24">
        <v>345.78204611562569</v>
      </c>
      <c r="CM13" s="24">
        <v>346.44286863515589</v>
      </c>
      <c r="CN13" s="24">
        <v>347.14834853787761</v>
      </c>
      <c r="CO13" s="24">
        <v>347.94618281485549</v>
      </c>
      <c r="CP13" s="24">
        <v>348.30095022402838</v>
      </c>
      <c r="CQ13" s="24">
        <v>348.89422826687661</v>
      </c>
      <c r="CR13" s="24">
        <v>350.10723563862672</v>
      </c>
      <c r="CS13" s="24">
        <v>351.93996306913698</v>
      </c>
      <c r="CT13" s="24">
        <v>353.07228664271861</v>
      </c>
      <c r="CU13" s="24">
        <v>355.91798176343411</v>
      </c>
      <c r="CV13" s="24">
        <v>369.47193847385182</v>
      </c>
      <c r="CW13" s="24">
        <v>399.06849105941632</v>
      </c>
      <c r="CX13" s="24">
        <v>404.29167726839921</v>
      </c>
      <c r="CY13" s="24">
        <v>6.4589215207226172</v>
      </c>
      <c r="CZ13" s="24">
        <v>6.5417601809012353</v>
      </c>
      <c r="DA13" s="24">
        <v>6.5643380676120318</v>
      </c>
      <c r="DB13" s="24">
        <v>6.6827628961565706</v>
      </c>
      <c r="DC13" s="24">
        <v>6.976601068524289</v>
      </c>
      <c r="DD13" s="24">
        <v>7.3786396609147626</v>
      </c>
      <c r="DE13" s="24">
        <v>7.9634984168566012</v>
      </c>
      <c r="DF13" s="24">
        <v>8.277670138274388</v>
      </c>
      <c r="DG13" s="24">
        <v>8.88175252996251</v>
      </c>
      <c r="DH13" s="24">
        <v>10.503502352948811</v>
      </c>
      <c r="DI13" s="24">
        <v>13.95602992694818</v>
      </c>
      <c r="DJ13" s="24">
        <v>16.557321911688049</v>
      </c>
      <c r="DK13" s="24">
        <v>23.216426412360761</v>
      </c>
      <c r="DL13" s="24">
        <v>41.67993470141888</v>
      </c>
      <c r="DM13" s="24">
        <v>61.499088207865597</v>
      </c>
      <c r="DN13" s="24">
        <v>66.056635893938278</v>
      </c>
      <c r="DO13" s="24">
        <v>891.83102378550973</v>
      </c>
    </row>
    <row r="14" spans="1:119" x14ac:dyDescent="0.3">
      <c r="A14" s="24" t="s">
        <v>373</v>
      </c>
      <c r="B14" s="24" t="s">
        <v>428</v>
      </c>
      <c r="C14" s="24" t="s">
        <v>429</v>
      </c>
      <c r="D14" s="24">
        <v>6.0000000000000001E-3</v>
      </c>
      <c r="E14" s="24">
        <v>8.0000000000000007E-5</v>
      </c>
      <c r="F14" s="24">
        <v>2.9230900000000001E-3</v>
      </c>
      <c r="G14" s="24">
        <v>8.75</v>
      </c>
      <c r="H14" s="24">
        <v>7.4999999999999997E-2</v>
      </c>
      <c r="I14" s="24">
        <v>2.67</v>
      </c>
      <c r="J14" s="24">
        <v>293.14999999999998</v>
      </c>
      <c r="K14" s="24">
        <v>404.66199999999998</v>
      </c>
      <c r="L14" s="24">
        <v>80</v>
      </c>
      <c r="M14" s="24">
        <v>0.3</v>
      </c>
      <c r="N14" s="24">
        <v>0.28998325796451208</v>
      </c>
      <c r="O14" s="24">
        <v>3.2101395939832501E-2</v>
      </c>
      <c r="P14" s="24">
        <v>30.093450934641421</v>
      </c>
      <c r="Q14" s="24">
        <v>41.420473337824042</v>
      </c>
      <c r="R14" s="24">
        <v>50.294919807540367</v>
      </c>
      <c r="S14" s="24">
        <v>85.812687737359525</v>
      </c>
      <c r="T14" s="24">
        <v>61.454154608347729</v>
      </c>
      <c r="U14" s="24">
        <v>2.497792064381366</v>
      </c>
      <c r="V14" s="24">
        <v>348.99477290427882</v>
      </c>
      <c r="W14" s="24">
        <v>7.0541949167628113</v>
      </c>
      <c r="X14" s="24">
        <v>5.610352173426441</v>
      </c>
      <c r="Y14" s="24">
        <v>6.9445313452500166</v>
      </c>
      <c r="Z14" s="24">
        <v>8.392493799259956</v>
      </c>
      <c r="AA14" s="24">
        <v>7.2635252224079996E-4</v>
      </c>
      <c r="AB14" s="24">
        <v>1.1078501967183669</v>
      </c>
      <c r="AC14" s="24">
        <v>0.63101445602383643</v>
      </c>
      <c r="AD14" s="24">
        <v>9.7550425773445202</v>
      </c>
      <c r="AE14" s="24">
        <v>4.5</v>
      </c>
      <c r="AF14" s="24">
        <v>0.1717069241084023</v>
      </c>
      <c r="AG14" s="24">
        <v>3.11029478945728E-2</v>
      </c>
      <c r="AH14" s="24">
        <v>95.037182776555298</v>
      </c>
      <c r="AI14" s="24">
        <v>92.423465375126241</v>
      </c>
      <c r="AJ14" s="24">
        <v>0.28609217783696073</v>
      </c>
      <c r="AK14" s="24">
        <v>0.73575248687814954</v>
      </c>
      <c r="AL14" s="24">
        <v>6.9931252830528834</v>
      </c>
      <c r="AM14" s="24">
        <v>57.97572138530991</v>
      </c>
      <c r="AN14" s="24">
        <v>66.992456708716276</v>
      </c>
      <c r="AO14" s="24">
        <v>82.113705512754251</v>
      </c>
      <c r="AP14" s="24">
        <v>57.97572138530991</v>
      </c>
      <c r="AQ14" s="24">
        <v>32.934613635793369</v>
      </c>
      <c r="AR14" s="24">
        <v>0.63215538161608786</v>
      </c>
      <c r="AS14" s="24">
        <v>8.4575095972806338</v>
      </c>
      <c r="AT14" s="24">
        <v>47.402004069515513</v>
      </c>
      <c r="AU14" s="24">
        <v>3.5286727073506512</v>
      </c>
      <c r="AV14" s="24">
        <v>8.4571764930417483</v>
      </c>
      <c r="AW14" s="24">
        <v>8.6281267490543794</v>
      </c>
      <c r="AX14" s="24">
        <v>4.3536808140321224</v>
      </c>
      <c r="AY14" s="24">
        <v>0.54591086856361049</v>
      </c>
      <c r="AZ14" s="24">
        <v>2.0297147680288088</v>
      </c>
      <c r="BA14" s="24">
        <v>73.682412644980289</v>
      </c>
      <c r="BB14" s="24">
        <v>109.7489325769188</v>
      </c>
      <c r="BC14" s="24">
        <v>10.5347120059132</v>
      </c>
      <c r="BD14" s="24">
        <v>19.482105024213709</v>
      </c>
      <c r="BE14" s="24">
        <v>30.159038651161879</v>
      </c>
      <c r="BF14" s="24">
        <v>44.430556159833948</v>
      </c>
      <c r="BG14" s="24">
        <v>57.982859179722048</v>
      </c>
      <c r="BH14" s="24">
        <v>85.89195909424437</v>
      </c>
      <c r="BI14" s="24">
        <v>65.004928464459255</v>
      </c>
      <c r="BJ14" s="24">
        <v>2.5944156557473388</v>
      </c>
      <c r="BK14" s="24">
        <v>7.0679950307568644</v>
      </c>
      <c r="BL14" s="24">
        <v>5.6138635807475046</v>
      </c>
      <c r="BM14" s="24">
        <v>6.9544042082379001</v>
      </c>
      <c r="BN14" s="24">
        <v>8.4268448417487374</v>
      </c>
      <c r="BO14" s="24">
        <v>0.9611964851601108</v>
      </c>
      <c r="BP14" s="24">
        <v>10.5347120059132</v>
      </c>
      <c r="BQ14" s="24">
        <v>48.669659443396043</v>
      </c>
      <c r="BR14" s="24">
        <v>66.675010311579456</v>
      </c>
      <c r="BS14" s="24">
        <v>67.360948607380564</v>
      </c>
      <c r="BT14" s="24">
        <v>104.30527645523691</v>
      </c>
      <c r="BU14" s="24">
        <v>81.152063408826479</v>
      </c>
      <c r="BV14" s="24">
        <v>3.8332642871773159</v>
      </c>
      <c r="BW14" s="24">
        <v>336.90529142537082</v>
      </c>
      <c r="BX14" s="24">
        <v>7.1313496007801982</v>
      </c>
      <c r="BY14" s="24">
        <v>5.6271631304985172</v>
      </c>
      <c r="BZ14" s="24">
        <v>7.010939786363604</v>
      </c>
      <c r="CA14" s="24">
        <v>8.6881845680569416</v>
      </c>
      <c r="CB14" s="24">
        <v>1.5057442956170001E-4</v>
      </c>
      <c r="CC14" s="24">
        <v>0.82593280175013783</v>
      </c>
      <c r="CD14" s="24">
        <v>0.1552111110609605</v>
      </c>
      <c r="CE14" s="24">
        <v>14.114075294404159</v>
      </c>
      <c r="CF14" s="24">
        <v>329.95737167497629</v>
      </c>
      <c r="CG14" s="24">
        <v>330.99350505295467</v>
      </c>
      <c r="CH14" s="24">
        <v>333.31252922918389</v>
      </c>
      <c r="CI14" s="24">
        <v>330.63408875559549</v>
      </c>
      <c r="CJ14" s="24">
        <v>330.92998875705308</v>
      </c>
      <c r="CK14" s="24">
        <v>330.99350505295467</v>
      </c>
      <c r="CL14" s="24">
        <v>331.25106073108179</v>
      </c>
      <c r="CM14" s="24">
        <v>331.83059065790388</v>
      </c>
      <c r="CN14" s="24">
        <v>332.4857280338648</v>
      </c>
      <c r="CO14" s="24">
        <v>333.28698282605279</v>
      </c>
      <c r="CP14" s="24">
        <v>333.6697985200002</v>
      </c>
      <c r="CQ14" s="24">
        <v>334.34125485393838</v>
      </c>
      <c r="CR14" s="24">
        <v>335.873581326568</v>
      </c>
      <c r="CS14" s="24">
        <v>338.51936495081628</v>
      </c>
      <c r="CT14" s="24">
        <v>340.2008709068275</v>
      </c>
      <c r="CU14" s="24">
        <v>344.23008995845282</v>
      </c>
      <c r="CV14" s="24">
        <v>360.36291010825522</v>
      </c>
      <c r="CW14" s="24">
        <v>395.14487534793011</v>
      </c>
      <c r="CX14" s="24">
        <v>400.56776222226841</v>
      </c>
      <c r="CY14" s="24">
        <v>10.73498572940462</v>
      </c>
      <c r="CZ14" s="24">
        <v>10.87223868380676</v>
      </c>
      <c r="DA14" s="24">
        <v>10.90944892193609</v>
      </c>
      <c r="DB14" s="24">
        <v>11.104616533506739</v>
      </c>
      <c r="DC14" s="24">
        <v>11.583865466345859</v>
      </c>
      <c r="DD14" s="24">
        <v>12.241780757190931</v>
      </c>
      <c r="DE14" s="24">
        <v>13.194507270894359</v>
      </c>
      <c r="DF14" s="24">
        <v>13.702489495509219</v>
      </c>
      <c r="DG14" s="24">
        <v>14.659185365219081</v>
      </c>
      <c r="DH14" s="24">
        <v>17.12859363626605</v>
      </c>
      <c r="DI14" s="24">
        <v>21.766302214141149</v>
      </c>
      <c r="DJ14" s="24">
        <v>24.80392811920342</v>
      </c>
      <c r="DK14" s="24">
        <v>31.489125713146809</v>
      </c>
      <c r="DL14" s="24">
        <v>47.654164410492072</v>
      </c>
      <c r="DM14" s="24">
        <v>63.194229368210522</v>
      </c>
      <c r="DN14" s="24">
        <v>66.815851857827653</v>
      </c>
      <c r="DO14" s="24">
        <v>715.26651355796753</v>
      </c>
    </row>
    <row r="15" spans="1:119" x14ac:dyDescent="0.3">
      <c r="A15" s="24" t="s">
        <v>434</v>
      </c>
      <c r="B15" s="24" t="s">
        <v>431</v>
      </c>
      <c r="C15" s="24" t="s">
        <v>429</v>
      </c>
      <c r="D15" s="24">
        <v>6.0000000000000001E-3</v>
      </c>
      <c r="E15" s="24">
        <v>8.0000000000000007E-5</v>
      </c>
      <c r="F15" s="24">
        <v>2.9230900000000001E-3</v>
      </c>
      <c r="G15" s="24">
        <v>8.75</v>
      </c>
      <c r="H15" s="24">
        <v>7.4999999999999997E-2</v>
      </c>
      <c r="I15" s="24">
        <v>2.67</v>
      </c>
      <c r="J15" s="24">
        <v>293.14999999999998</v>
      </c>
      <c r="K15" s="24">
        <v>404.66199999999998</v>
      </c>
      <c r="L15" s="24">
        <v>80</v>
      </c>
      <c r="M15" s="24">
        <v>0.3</v>
      </c>
      <c r="N15" s="24">
        <v>0.2868112643896128</v>
      </c>
      <c r="O15" s="24">
        <v>3.2069976126881103E-2</v>
      </c>
      <c r="P15" s="24">
        <v>21.605797835943299</v>
      </c>
      <c r="Q15" s="24">
        <v>40.697957134448643</v>
      </c>
      <c r="R15" s="24">
        <v>50.174677209899677</v>
      </c>
      <c r="S15" s="24">
        <v>85.817339715847083</v>
      </c>
      <c r="T15" s="24">
        <v>60.920358907146351</v>
      </c>
      <c r="U15" s="24">
        <v>2.4502782441302489</v>
      </c>
      <c r="V15" s="24">
        <v>350.17788188940892</v>
      </c>
      <c r="W15" s="24">
        <v>7.698080339413651</v>
      </c>
      <c r="X15" s="24">
        <v>5.8282826574325712</v>
      </c>
      <c r="Y15" s="24">
        <v>7.3330855739946577</v>
      </c>
      <c r="Z15" s="24">
        <v>9.5660788820824205</v>
      </c>
      <c r="AA15" s="24">
        <v>6.7863950447450002E-4</v>
      </c>
      <c r="AB15" s="24">
        <v>1.2797599396859609</v>
      </c>
      <c r="AC15" s="24">
        <v>0.92532603844139061</v>
      </c>
      <c r="AD15" s="24">
        <v>9.3122591130822006</v>
      </c>
      <c r="AE15" s="24">
        <v>4.5</v>
      </c>
      <c r="AF15" s="24">
        <v>0.22611626732673881</v>
      </c>
      <c r="AG15" s="24">
        <v>3.1073451285960601E-2</v>
      </c>
      <c r="AH15" s="24">
        <v>91.883012521403558</v>
      </c>
      <c r="AI15" s="24">
        <v>89.069252460882183</v>
      </c>
      <c r="AJ15" s="24">
        <v>0.32317978231090061</v>
      </c>
      <c r="AK15" s="24">
        <v>0.95959405880150517</v>
      </c>
      <c r="AL15" s="24">
        <v>6.9971301313772578</v>
      </c>
      <c r="AM15" s="24">
        <v>58.018111767563163</v>
      </c>
      <c r="AN15" s="24">
        <v>66.801744041216992</v>
      </c>
      <c r="AO15" s="24">
        <v>76.585382917675034</v>
      </c>
      <c r="AP15" s="24">
        <v>58.018111767563163</v>
      </c>
      <c r="AQ15" s="24">
        <v>32.979377689865821</v>
      </c>
      <c r="AR15" s="24">
        <v>0.6491846290567187</v>
      </c>
      <c r="AS15" s="24">
        <v>8.3533259135143005</v>
      </c>
      <c r="AT15" s="24">
        <v>48.4215923376088</v>
      </c>
      <c r="AU15" s="24">
        <v>3.5176059638376018</v>
      </c>
      <c r="AV15" s="24">
        <v>8.4571764930417483</v>
      </c>
      <c r="AW15" s="24">
        <v>8.6552717069352489</v>
      </c>
      <c r="AX15" s="24">
        <v>4.3511889593737738</v>
      </c>
      <c r="AY15" s="24">
        <v>0.80633462914949905</v>
      </c>
      <c r="AZ15" s="24">
        <v>3.8578630382335062</v>
      </c>
      <c r="BA15" s="24">
        <v>74.45895489028932</v>
      </c>
      <c r="BB15" s="24">
        <v>112.7334940971264</v>
      </c>
      <c r="BC15" s="24">
        <v>10.2532451771296</v>
      </c>
      <c r="BD15" s="24">
        <v>19.05275471145336</v>
      </c>
      <c r="BE15" s="24">
        <v>30.177907032242871</v>
      </c>
      <c r="BF15" s="24">
        <v>44.476168388078882</v>
      </c>
      <c r="BG15" s="24">
        <v>57.970560685781052</v>
      </c>
      <c r="BH15" s="24">
        <v>85.895166635353789</v>
      </c>
      <c r="BI15" s="24">
        <v>65.003393641876528</v>
      </c>
      <c r="BJ15" s="24">
        <v>2.5966701395100449</v>
      </c>
      <c r="BK15" s="24">
        <v>7.5574560951298366</v>
      </c>
      <c r="BL15" s="24">
        <v>5.7645947518121732</v>
      </c>
      <c r="BM15" s="24">
        <v>7.2215487474302886</v>
      </c>
      <c r="BN15" s="24">
        <v>9.1893875283728157</v>
      </c>
      <c r="BO15" s="24">
        <v>0.96113025204493485</v>
      </c>
      <c r="BP15" s="24">
        <v>10.2532451771296</v>
      </c>
      <c r="BQ15" s="24">
        <v>48.526741004067773</v>
      </c>
      <c r="BR15" s="24">
        <v>63.870368818089759</v>
      </c>
      <c r="BS15" s="24">
        <v>67.299178795108119</v>
      </c>
      <c r="BT15" s="24">
        <v>95.186782130094073</v>
      </c>
      <c r="BU15" s="24">
        <v>78.427020847154481</v>
      </c>
      <c r="BV15" s="24">
        <v>3.6398807939653759</v>
      </c>
      <c r="BW15" s="24">
        <v>339.20641483493017</v>
      </c>
      <c r="BX15" s="24">
        <v>7.0974971917611178</v>
      </c>
      <c r="BY15" s="24">
        <v>5.4342052602247071</v>
      </c>
      <c r="BZ15" s="24">
        <v>6.8246798814582883</v>
      </c>
      <c r="CA15" s="24">
        <v>8.4698972772287053</v>
      </c>
      <c r="CB15" s="24">
        <v>1.9828744956580001E-4</v>
      </c>
      <c r="CC15" s="24">
        <v>0.69332259265870821</v>
      </c>
      <c r="CD15" s="24">
        <v>0.41713319089866979</v>
      </c>
      <c r="CE15" s="24">
        <v>13.331056690420031</v>
      </c>
      <c r="CF15" s="24">
        <v>330.17003918475808</v>
      </c>
      <c r="CG15" s="24">
        <v>331.35490981369168</v>
      </c>
      <c r="CH15" s="24">
        <v>333.75832007943052</v>
      </c>
      <c r="CI15" s="24">
        <v>330.97769660009237</v>
      </c>
      <c r="CJ15" s="24">
        <v>331.28747958152388</v>
      </c>
      <c r="CK15" s="24">
        <v>331.35490981369168</v>
      </c>
      <c r="CL15" s="24">
        <v>331.63069593053569</v>
      </c>
      <c r="CM15" s="24">
        <v>332.24005656188427</v>
      </c>
      <c r="CN15" s="24">
        <v>332.89816517446138</v>
      </c>
      <c r="CO15" s="24">
        <v>333.65818699723047</v>
      </c>
      <c r="CP15" s="24">
        <v>334.00620289439718</v>
      </c>
      <c r="CQ15" s="24">
        <v>334.61597581040559</v>
      </c>
      <c r="CR15" s="24">
        <v>335.97965343489449</v>
      </c>
      <c r="CS15" s="24">
        <v>338.32396140337801</v>
      </c>
      <c r="CT15" s="24">
        <v>339.90771016122949</v>
      </c>
      <c r="CU15" s="24">
        <v>343.80303224998931</v>
      </c>
      <c r="CV15" s="24">
        <v>358.64234176621773</v>
      </c>
      <c r="CW15" s="24">
        <v>393.64281960075448</v>
      </c>
      <c r="CX15" s="24">
        <v>400.40208279365601</v>
      </c>
      <c r="CY15" s="24">
        <v>10.46455007865487</v>
      </c>
      <c r="CZ15" s="24">
        <v>10.602078033592919</v>
      </c>
      <c r="DA15" s="24">
        <v>10.63947178981679</v>
      </c>
      <c r="DB15" s="24">
        <v>10.834175981387119</v>
      </c>
      <c r="DC15" s="24">
        <v>11.306712351042639</v>
      </c>
      <c r="DD15" s="24">
        <v>11.942485480785921</v>
      </c>
      <c r="DE15" s="24">
        <v>12.843274438276801</v>
      </c>
      <c r="DF15" s="24">
        <v>13.31899695887935</v>
      </c>
      <c r="DG15" s="24">
        <v>14.2159239007064</v>
      </c>
      <c r="DH15" s="24">
        <v>16.52158973170809</v>
      </c>
      <c r="DI15" s="24">
        <v>20.97407933808045</v>
      </c>
      <c r="DJ15" s="24">
        <v>23.944324825841839</v>
      </c>
      <c r="DK15" s="24">
        <v>30.64593032361476</v>
      </c>
      <c r="DL15" s="24">
        <v>45.152340572992408</v>
      </c>
      <c r="DM15" s="24">
        <v>63.387651706111448</v>
      </c>
      <c r="DN15" s="24">
        <v>66.847317837338423</v>
      </c>
      <c r="DO15" s="24">
        <v>706.45551554489623</v>
      </c>
    </row>
    <row r="16" spans="1:119" x14ac:dyDescent="0.3">
      <c r="A16" s="24" t="s">
        <v>391</v>
      </c>
      <c r="B16" s="24" t="s">
        <v>428</v>
      </c>
      <c r="C16" s="24" t="s">
        <v>429</v>
      </c>
      <c r="D16" s="24">
        <v>6.0000000000000001E-3</v>
      </c>
      <c r="E16" s="24">
        <v>5.9214900000000001E-5</v>
      </c>
      <c r="F16" s="24">
        <v>1.92935E-3</v>
      </c>
      <c r="G16" s="24">
        <v>8.75</v>
      </c>
      <c r="H16" s="24">
        <v>7.4999999999999997E-2</v>
      </c>
      <c r="I16" s="24">
        <v>2.9876</v>
      </c>
      <c r="J16" s="24">
        <v>293.14999999999998</v>
      </c>
      <c r="K16" s="24">
        <v>415.298</v>
      </c>
      <c r="L16" s="24">
        <v>80</v>
      </c>
      <c r="M16" s="24">
        <v>0.3</v>
      </c>
      <c r="N16" s="24">
        <v>7.06122482334052E-2</v>
      </c>
      <c r="O16" s="24">
        <v>2.3818069652498101E-2</v>
      </c>
      <c r="P16" s="24">
        <v>25.26999869156408</v>
      </c>
      <c r="Q16" s="24">
        <v>33.396520147795549</v>
      </c>
      <c r="R16" s="24">
        <v>36.71936400274349</v>
      </c>
      <c r="S16" s="24">
        <v>65.828091874236648</v>
      </c>
      <c r="T16" s="24">
        <v>46.58768107524191</v>
      </c>
      <c r="U16" s="24">
        <v>2.759819138673357</v>
      </c>
      <c r="V16" s="24">
        <v>375.0780018498661</v>
      </c>
      <c r="W16" s="24">
        <v>7.5949853078876517</v>
      </c>
      <c r="X16" s="24">
        <v>6.3400292943323544</v>
      </c>
      <c r="Y16" s="24">
        <v>7.3549483098819088</v>
      </c>
      <c r="Z16" s="24">
        <v>8.8746394890478317</v>
      </c>
      <c r="AA16" s="24">
        <v>5.2215789682010004E-4</v>
      </c>
      <c r="AB16" s="24">
        <v>1.1045423657022571</v>
      </c>
      <c r="AC16" s="24">
        <v>7.0954835002328984</v>
      </c>
      <c r="AD16" s="24">
        <v>3.4117974470739951</v>
      </c>
      <c r="AE16" s="24">
        <v>3.3</v>
      </c>
      <c r="AF16" s="24">
        <v>9.7869045778512007E-2</v>
      </c>
      <c r="AG16" s="24">
        <v>2.3263966869213799E-2</v>
      </c>
      <c r="AH16" s="24">
        <v>31.567468280093941</v>
      </c>
      <c r="AI16" s="24">
        <v>14.083686263632741</v>
      </c>
      <c r="AJ16" s="24">
        <v>1.3464606529407619</v>
      </c>
      <c r="AK16" s="24">
        <v>2.498947933020812</v>
      </c>
      <c r="AL16" s="24">
        <v>4.7844000962055473</v>
      </c>
      <c r="AM16" s="24">
        <v>36.910992752204528</v>
      </c>
      <c r="AN16" s="24">
        <v>48.611335177101047</v>
      </c>
      <c r="AO16" s="24">
        <v>90.083334292103856</v>
      </c>
      <c r="AP16" s="24">
        <v>36.910992752204528</v>
      </c>
      <c r="AQ16" s="24">
        <v>51.252940084212973</v>
      </c>
      <c r="AR16" s="24">
        <v>0.57712507463979168</v>
      </c>
      <c r="AS16" s="24">
        <v>11.2589420889427</v>
      </c>
      <c r="AT16" s="24">
        <v>99.999998799276199</v>
      </c>
      <c r="AU16" s="24">
        <v>2.1604082292708209</v>
      </c>
      <c r="AV16" s="24">
        <v>9.2638208827037776</v>
      </c>
      <c r="AW16" s="24">
        <v>15.43678399567556</v>
      </c>
      <c r="AX16" s="24">
        <v>6.9705197113809332</v>
      </c>
      <c r="AY16" s="24">
        <v>6.9839465902426463</v>
      </c>
      <c r="AZ16" s="24">
        <v>9.2302555477101116</v>
      </c>
      <c r="BA16" s="24">
        <v>101.2216271594838</v>
      </c>
      <c r="BB16" s="24">
        <v>127.01510845370601</v>
      </c>
      <c r="BC16" s="24">
        <v>3.5507284332421052</v>
      </c>
      <c r="BD16" s="24">
        <v>6.1202430382696758</v>
      </c>
      <c r="BE16" s="24">
        <v>25.300811532109389</v>
      </c>
      <c r="BF16" s="24">
        <v>34.595553463294458</v>
      </c>
      <c r="BG16" s="24">
        <v>45.622241019994362</v>
      </c>
      <c r="BH16" s="24">
        <v>65.9909841975646</v>
      </c>
      <c r="BI16" s="24">
        <v>47.911304887220162</v>
      </c>
      <c r="BJ16" s="24">
        <v>2.788825216119954</v>
      </c>
      <c r="BK16" s="24">
        <v>7.667802392385302</v>
      </c>
      <c r="BL16" s="24">
        <v>6.3728555714273316</v>
      </c>
      <c r="BM16" s="24">
        <v>7.4406210045370242</v>
      </c>
      <c r="BN16" s="24">
        <v>9.0177820511181643</v>
      </c>
      <c r="BO16" s="24">
        <v>0.89189333438535767</v>
      </c>
      <c r="BP16" s="24">
        <v>3.5507284332421052</v>
      </c>
      <c r="BQ16" s="24">
        <v>36.583973228521657</v>
      </c>
      <c r="BR16" s="24">
        <v>51.339649845103651</v>
      </c>
      <c r="BS16" s="24">
        <v>55.792774507178521</v>
      </c>
      <c r="BT16" s="24">
        <v>68.171621264102754</v>
      </c>
      <c r="BU16" s="24">
        <v>59.237892082359437</v>
      </c>
      <c r="BV16" s="24">
        <v>4.7946647611558264</v>
      </c>
      <c r="BW16" s="24">
        <v>367.95489503968349</v>
      </c>
      <c r="BX16" s="24">
        <v>8.3292753065882206</v>
      </c>
      <c r="BY16" s="24">
        <v>6.9433071600386764</v>
      </c>
      <c r="BZ16" s="24">
        <v>8.0063955187527185</v>
      </c>
      <c r="CA16" s="24">
        <v>9.9546205612702607</v>
      </c>
      <c r="CB16" s="24">
        <v>5.6647091941990291E-5</v>
      </c>
      <c r="CC16" s="24">
        <v>0.56616019394262063</v>
      </c>
      <c r="CD16" s="24">
        <v>5.9707414420082294</v>
      </c>
      <c r="CE16" s="24">
        <v>4.8127823169933892</v>
      </c>
      <c r="CF16" s="24">
        <v>355.9202263078746</v>
      </c>
      <c r="CG16" s="24">
        <v>357.56702313837712</v>
      </c>
      <c r="CH16" s="24">
        <v>361.19945128521482</v>
      </c>
      <c r="CI16" s="24">
        <v>357.03703677527938</v>
      </c>
      <c r="CJ16" s="24">
        <v>357.48150263082482</v>
      </c>
      <c r="CK16" s="24">
        <v>357.56702313837712</v>
      </c>
      <c r="CL16" s="24">
        <v>357.91392076916497</v>
      </c>
      <c r="CM16" s="24">
        <v>358.6731237787472</v>
      </c>
      <c r="CN16" s="24">
        <v>359.47317072658097</v>
      </c>
      <c r="CO16" s="24">
        <v>360.34855359374677</v>
      </c>
      <c r="CP16" s="24">
        <v>360.72583948544087</v>
      </c>
      <c r="CQ16" s="24">
        <v>361.33768944445637</v>
      </c>
      <c r="CR16" s="24">
        <v>362.48707801377168</v>
      </c>
      <c r="CS16" s="24">
        <v>363.87549939549808</v>
      </c>
      <c r="CT16" s="24">
        <v>364.56248586132131</v>
      </c>
      <c r="CU16" s="24">
        <v>366.00942717873761</v>
      </c>
      <c r="CV16" s="24">
        <v>375.67865551291243</v>
      </c>
      <c r="CW16" s="24">
        <v>405.37791300210478</v>
      </c>
      <c r="CX16" s="24">
        <v>410.90727799487058</v>
      </c>
      <c r="CY16" s="24">
        <v>3.5979526415099738</v>
      </c>
      <c r="CZ16" s="24">
        <v>3.6376518361173189</v>
      </c>
      <c r="DA16" s="24">
        <v>3.6484368785054291</v>
      </c>
      <c r="DB16" s="24">
        <v>3.7057827247360389</v>
      </c>
      <c r="DC16" s="24">
        <v>3.8465443939494208</v>
      </c>
      <c r="DD16" s="24">
        <v>4.0415594437699216</v>
      </c>
      <c r="DE16" s="24">
        <v>4.3215218434270311</v>
      </c>
      <c r="DF16" s="24">
        <v>4.4721421647456054</v>
      </c>
      <c r="DG16" s="24">
        <v>4.7599622599906617</v>
      </c>
      <c r="DH16" s="24">
        <v>5.526555055721861</v>
      </c>
      <c r="DI16" s="24">
        <v>7.132750715525531</v>
      </c>
      <c r="DJ16" s="24">
        <v>8.3918251676639599</v>
      </c>
      <c r="DK16" s="24">
        <v>12.108245077188441</v>
      </c>
      <c r="DL16" s="24">
        <v>29.780155667552162</v>
      </c>
      <c r="DM16" s="24">
        <v>57.344024138610607</v>
      </c>
      <c r="DN16" s="24">
        <v>64.191640476751473</v>
      </c>
      <c r="DO16" s="24">
        <v>1043.008228406999</v>
      </c>
    </row>
    <row r="17" spans="1:119" x14ac:dyDescent="0.3">
      <c r="A17" s="24" t="s">
        <v>374</v>
      </c>
      <c r="B17" s="24" t="s">
        <v>428</v>
      </c>
      <c r="C17" s="24" t="s">
        <v>429</v>
      </c>
      <c r="D17" s="24">
        <v>6.0000000000000001E-3</v>
      </c>
      <c r="E17" s="24">
        <v>7.7725299999999999E-5</v>
      </c>
      <c r="F17" s="24">
        <v>2.36703E-3</v>
      </c>
      <c r="G17" s="24">
        <v>8.75</v>
      </c>
      <c r="H17" s="24">
        <v>7.4999999999999997E-2</v>
      </c>
      <c r="I17" s="24">
        <v>2.7047599999999998</v>
      </c>
      <c r="J17" s="24">
        <v>293.14999999999998</v>
      </c>
      <c r="K17" s="24">
        <v>405.262</v>
      </c>
      <c r="L17" s="24">
        <v>80</v>
      </c>
      <c r="M17" s="24">
        <v>0.3</v>
      </c>
      <c r="N17" s="24">
        <v>0.1571608487074784</v>
      </c>
      <c r="O17" s="24">
        <v>2.74513794175184E-2</v>
      </c>
      <c r="P17" s="24">
        <v>22.088341472122451</v>
      </c>
      <c r="Q17" s="24">
        <v>40.779075462961053</v>
      </c>
      <c r="R17" s="24">
        <v>49.607595471444647</v>
      </c>
      <c r="S17" s="24">
        <v>77.712435663142287</v>
      </c>
      <c r="T17" s="24">
        <v>59.811966104420399</v>
      </c>
      <c r="U17" s="24">
        <v>2.526924568910919</v>
      </c>
      <c r="V17" s="24">
        <v>357.72954090198601</v>
      </c>
      <c r="W17" s="24">
        <v>7.1270679323726487</v>
      </c>
      <c r="X17" s="24">
        <v>5.7120060610266954</v>
      </c>
      <c r="Y17" s="24">
        <v>6.9916475335813741</v>
      </c>
      <c r="Z17" s="24">
        <v>8.4681336098547835</v>
      </c>
      <c r="AA17" s="24">
        <v>5.9647119882340002E-4</v>
      </c>
      <c r="AB17" s="24">
        <v>1.1212818049816271</v>
      </c>
      <c r="AC17" s="24">
        <v>3.6107092044941789</v>
      </c>
      <c r="AD17" s="24">
        <v>7.0554967733085796</v>
      </c>
      <c r="AE17" s="24">
        <v>4.5</v>
      </c>
      <c r="AF17" s="24">
        <v>0.16002861271305921</v>
      </c>
      <c r="AG17" s="24">
        <v>2.6717935239992701E-2</v>
      </c>
      <c r="AH17" s="24">
        <v>90.706348970279677</v>
      </c>
      <c r="AI17" s="24">
        <v>78.745948988114307</v>
      </c>
      <c r="AJ17" s="24">
        <v>0.53532742745767692</v>
      </c>
      <c r="AK17" s="24">
        <v>1.132335363003079</v>
      </c>
      <c r="AL17" s="24">
        <v>5.7556283427666219</v>
      </c>
      <c r="AM17" s="24">
        <v>47.818987888084692</v>
      </c>
      <c r="AN17" s="24">
        <v>58.136866082275823</v>
      </c>
      <c r="AO17" s="24">
        <v>83.568595573323762</v>
      </c>
      <c r="AP17" s="24">
        <v>47.818987888084692</v>
      </c>
      <c r="AQ17" s="24">
        <v>41.734289025470922</v>
      </c>
      <c r="AR17" s="24">
        <v>0.60429301054847506</v>
      </c>
      <c r="AS17" s="24">
        <v>9.8424300758959102</v>
      </c>
      <c r="AT17" s="24">
        <v>87.783355940186709</v>
      </c>
      <c r="AU17" s="24">
        <v>2.7645547557383492</v>
      </c>
      <c r="AV17" s="24">
        <v>8.5026810656063621</v>
      </c>
      <c r="AW17" s="24">
        <v>11.072181432705159</v>
      </c>
      <c r="AX17" s="24">
        <v>5.3182120201787422</v>
      </c>
      <c r="AY17" s="24">
        <v>3.2576446008975459</v>
      </c>
      <c r="AZ17" s="24">
        <v>7.3770812940874482</v>
      </c>
      <c r="BA17" s="24">
        <v>82.950605725554354</v>
      </c>
      <c r="BB17" s="24">
        <v>113.1409157724902</v>
      </c>
      <c r="BC17" s="24">
        <v>7.5296882908999736</v>
      </c>
      <c r="BD17" s="24">
        <v>13.80256941658568</v>
      </c>
      <c r="BE17" s="24">
        <v>30.70143930019924</v>
      </c>
      <c r="BF17" s="24">
        <v>43.305832929890407</v>
      </c>
      <c r="BG17" s="24">
        <v>58.68569715407537</v>
      </c>
      <c r="BH17" s="24">
        <v>86.954186999745872</v>
      </c>
      <c r="BI17" s="24">
        <v>62.804431723619089</v>
      </c>
      <c r="BJ17" s="24">
        <v>2.5951790555640768</v>
      </c>
      <c r="BK17" s="24">
        <v>7.1819849750455136</v>
      </c>
      <c r="BL17" s="24">
        <v>5.7332004121301043</v>
      </c>
      <c r="BM17" s="24">
        <v>7.0051900520831856</v>
      </c>
      <c r="BN17" s="24">
        <v>8.570325238682555</v>
      </c>
      <c r="BO17" s="24">
        <v>0.95854271871149122</v>
      </c>
      <c r="BP17" s="24">
        <v>7.5296882908999736</v>
      </c>
      <c r="BQ17" s="24">
        <v>43.393879959635562</v>
      </c>
      <c r="BR17" s="24">
        <v>63.232519357064703</v>
      </c>
      <c r="BS17" s="24">
        <v>68.22127312022846</v>
      </c>
      <c r="BT17" s="24">
        <v>96.432970883361435</v>
      </c>
      <c r="BU17" s="24">
        <v>77.729291715887442</v>
      </c>
      <c r="BV17" s="24">
        <v>3.7346037711549589</v>
      </c>
      <c r="BW17" s="24">
        <v>347.81599283188291</v>
      </c>
      <c r="BX17" s="24">
        <v>7.461287949401183</v>
      </c>
      <c r="BY17" s="24">
        <v>5.8024157870769679</v>
      </c>
      <c r="BZ17" s="24">
        <v>7.1957394060717288</v>
      </c>
      <c r="CA17" s="24">
        <v>9.0491988696953722</v>
      </c>
      <c r="CB17" s="24">
        <v>1.136377499468E-4</v>
      </c>
      <c r="CC17" s="24">
        <v>0.7774567740806223</v>
      </c>
      <c r="CD17" s="24">
        <v>1.4619908452562109</v>
      </c>
      <c r="CE17" s="24">
        <v>9.9413822720645424</v>
      </c>
      <c r="CF17" s="24">
        <v>340.08359669783891</v>
      </c>
      <c r="CG17" s="24">
        <v>341.34952764025832</v>
      </c>
      <c r="CH17" s="24">
        <v>344.17674194922938</v>
      </c>
      <c r="CI17" s="24">
        <v>340.92901574837032</v>
      </c>
      <c r="CJ17" s="24">
        <v>341.27892799341907</v>
      </c>
      <c r="CK17" s="24">
        <v>341.34952764025832</v>
      </c>
      <c r="CL17" s="24">
        <v>341.63396647561763</v>
      </c>
      <c r="CM17" s="24">
        <v>342.26821164379243</v>
      </c>
      <c r="CN17" s="24">
        <v>342.95141909085407</v>
      </c>
      <c r="CO17" s="24">
        <v>343.73836214800338</v>
      </c>
      <c r="CP17" s="24">
        <v>344.09978383507882</v>
      </c>
      <c r="CQ17" s="24">
        <v>344.71359679716198</v>
      </c>
      <c r="CR17" s="24">
        <v>346.0212840982594</v>
      </c>
      <c r="CS17" s="24">
        <v>348.08297057495042</v>
      </c>
      <c r="CT17" s="24">
        <v>349.38994120668798</v>
      </c>
      <c r="CU17" s="24">
        <v>352.64361083939411</v>
      </c>
      <c r="CV17" s="24">
        <v>366.74700803839539</v>
      </c>
      <c r="CW17" s="24">
        <v>396.28452942984387</v>
      </c>
      <c r="CX17" s="24">
        <v>401.35847536891492</v>
      </c>
      <c r="CY17" s="24">
        <v>7.6788937460300977</v>
      </c>
      <c r="CZ17" s="24">
        <v>7.7818838541261881</v>
      </c>
      <c r="DA17" s="24">
        <v>7.8099114113466204</v>
      </c>
      <c r="DB17" s="24">
        <v>7.9571895044608443</v>
      </c>
      <c r="DC17" s="24">
        <v>8.3201258816188624</v>
      </c>
      <c r="DD17" s="24">
        <v>8.8160501121564536</v>
      </c>
      <c r="DE17" s="24">
        <v>9.5462301149768862</v>
      </c>
      <c r="DF17" s="24">
        <v>9.9395835688940153</v>
      </c>
      <c r="DG17" s="24">
        <v>10.693290363583261</v>
      </c>
      <c r="DH17" s="24">
        <v>12.71218648403463</v>
      </c>
      <c r="DI17" s="24">
        <v>16.83150074124028</v>
      </c>
      <c r="DJ17" s="24">
        <v>19.7800683115534</v>
      </c>
      <c r="DK17" s="24">
        <v>26.77851275122114</v>
      </c>
      <c r="DL17" s="24">
        <v>44.675337097338577</v>
      </c>
      <c r="DM17" s="24">
        <v>62.350444602832177</v>
      </c>
      <c r="DN17" s="24">
        <v>66.43168233795879</v>
      </c>
      <c r="DO17" s="24">
        <v>836.87043845874746</v>
      </c>
    </row>
    <row r="18" spans="1:119" x14ac:dyDescent="0.3">
      <c r="A18" s="24" t="s">
        <v>399</v>
      </c>
      <c r="B18" s="24" t="s">
        <v>428</v>
      </c>
      <c r="C18" s="24" t="s">
        <v>429</v>
      </c>
      <c r="D18" s="24">
        <v>6.0000000000000001E-3</v>
      </c>
      <c r="E18" s="24">
        <v>8.0000000000000007E-5</v>
      </c>
      <c r="F18" s="24">
        <v>3.0017899999999998E-3</v>
      </c>
      <c r="G18" s="24">
        <v>8.75</v>
      </c>
      <c r="H18" s="24">
        <v>7.4999999999999997E-2</v>
      </c>
      <c r="I18" s="24">
        <v>2.67</v>
      </c>
      <c r="J18" s="24">
        <v>293.14999999999998</v>
      </c>
      <c r="K18" s="24">
        <v>420.23599999999999</v>
      </c>
      <c r="L18" s="24">
        <v>80</v>
      </c>
      <c r="M18" s="24">
        <v>0.3</v>
      </c>
      <c r="N18" s="24">
        <v>0.1876858802798243</v>
      </c>
      <c r="O18" s="24">
        <v>3.3151157289854197E-2</v>
      </c>
      <c r="P18" s="24">
        <v>30.08063908943447</v>
      </c>
      <c r="Q18" s="24">
        <v>41.531263183028642</v>
      </c>
      <c r="R18" s="24">
        <v>50.367077986442872</v>
      </c>
      <c r="S18" s="24">
        <v>85.775186481679754</v>
      </c>
      <c r="T18" s="24">
        <v>61.526242655737782</v>
      </c>
      <c r="U18" s="24">
        <v>2.4967695213665939</v>
      </c>
      <c r="V18" s="24">
        <v>361.4542757460581</v>
      </c>
      <c r="W18" s="24">
        <v>7.0523753665547648</v>
      </c>
      <c r="X18" s="24">
        <v>5.6279057193119284</v>
      </c>
      <c r="Y18" s="24">
        <v>6.9659586676464151</v>
      </c>
      <c r="Z18" s="24">
        <v>8.4056361452711919</v>
      </c>
      <c r="AA18" s="24">
        <v>7.4245908234990001E-4</v>
      </c>
      <c r="AB18" s="24">
        <v>1.1057728504170199</v>
      </c>
      <c r="AC18" s="24">
        <v>3.711180956797834</v>
      </c>
      <c r="AD18" s="24">
        <v>7.652702650166324</v>
      </c>
      <c r="AE18" s="24">
        <v>4.5</v>
      </c>
      <c r="AF18" s="24">
        <v>0.17553731704453199</v>
      </c>
      <c r="AG18" s="24">
        <v>3.2087422112380699E-2</v>
      </c>
      <c r="AH18" s="24">
        <v>92.14516248486828</v>
      </c>
      <c r="AI18" s="24">
        <v>83.404984314483499</v>
      </c>
      <c r="AJ18" s="24">
        <v>0.68331656032823984</v>
      </c>
      <c r="AK18" s="24">
        <v>1.8494296182482659</v>
      </c>
      <c r="AL18" s="24">
        <v>7.2720563782561456</v>
      </c>
      <c r="AM18" s="24">
        <v>53.301187129415503</v>
      </c>
      <c r="AN18" s="24">
        <v>63.026239843629483</v>
      </c>
      <c r="AO18" s="24">
        <v>81.931160996755366</v>
      </c>
      <c r="AP18" s="24">
        <v>53.301187129415503</v>
      </c>
      <c r="AQ18" s="24">
        <v>36.953667390425807</v>
      </c>
      <c r="AR18" s="24">
        <v>0.68506550020260071</v>
      </c>
      <c r="AS18" s="24">
        <v>9.0600799799560754</v>
      </c>
      <c r="AT18" s="24">
        <v>88.349569918154046</v>
      </c>
      <c r="AU18" s="24">
        <v>3.532659394058359</v>
      </c>
      <c r="AV18" s="24">
        <v>9.6383235149105353</v>
      </c>
      <c r="AW18" s="24">
        <v>9.8220521095345408</v>
      </c>
      <c r="AX18" s="24">
        <v>4.7714102928886497</v>
      </c>
      <c r="AY18" s="24">
        <v>3.3233041460533022</v>
      </c>
      <c r="AZ18" s="24">
        <v>7.3555290805636666</v>
      </c>
      <c r="BA18" s="24">
        <v>86.239848275722537</v>
      </c>
      <c r="BB18" s="24">
        <v>124.0326955461309</v>
      </c>
      <c r="BC18" s="24">
        <v>8.2296695386862755</v>
      </c>
      <c r="BD18" s="24">
        <v>15.16726903019528</v>
      </c>
      <c r="BE18" s="24">
        <v>30.18594328760911</v>
      </c>
      <c r="BF18" s="24">
        <v>44.48589415640302</v>
      </c>
      <c r="BG18" s="24">
        <v>58.013281491485159</v>
      </c>
      <c r="BH18" s="24">
        <v>85.880636365399724</v>
      </c>
      <c r="BI18" s="24">
        <v>64.912831565987574</v>
      </c>
      <c r="BJ18" s="24">
        <v>2.599161761950759</v>
      </c>
      <c r="BK18" s="24">
        <v>7.102004061212452</v>
      </c>
      <c r="BL18" s="24">
        <v>5.6472551778091544</v>
      </c>
      <c r="BM18" s="24">
        <v>6.992834164610076</v>
      </c>
      <c r="BN18" s="24">
        <v>8.5048635028665256</v>
      </c>
      <c r="BO18" s="24">
        <v>0.9600334896753796</v>
      </c>
      <c r="BP18" s="24">
        <v>8.2296695386862755</v>
      </c>
      <c r="BQ18" s="24">
        <v>48.659219160498481</v>
      </c>
      <c r="BR18" s="24">
        <v>65.670276876285797</v>
      </c>
      <c r="BS18" s="24">
        <v>67.339320422928054</v>
      </c>
      <c r="BT18" s="24">
        <v>95.232732889420618</v>
      </c>
      <c r="BU18" s="24">
        <v>80.129891833762827</v>
      </c>
      <c r="BV18" s="24">
        <v>3.7571043801923292</v>
      </c>
      <c r="BW18" s="24">
        <v>350.02892921457988</v>
      </c>
      <c r="BX18" s="24">
        <v>7.3270399127869474</v>
      </c>
      <c r="BY18" s="24">
        <v>5.7192945216492577</v>
      </c>
      <c r="BZ18" s="24">
        <v>7.120067965299623</v>
      </c>
      <c r="CA18" s="24">
        <v>8.8653682625881771</v>
      </c>
      <c r="CB18" s="24">
        <v>1.580778342372E-4</v>
      </c>
      <c r="CC18" s="24">
        <v>0.691624350177798</v>
      </c>
      <c r="CD18" s="24">
        <v>1.5645194547783561</v>
      </c>
      <c r="CE18" s="24">
        <v>10.845862367934259</v>
      </c>
      <c r="CF18" s="24">
        <v>340.13847283232502</v>
      </c>
      <c r="CG18" s="24">
        <v>341.40968050040777</v>
      </c>
      <c r="CH18" s="24">
        <v>344.25774765211781</v>
      </c>
      <c r="CI18" s="24">
        <v>340.98125381349013</v>
      </c>
      <c r="CJ18" s="24">
        <v>341.33726598363262</v>
      </c>
      <c r="CK18" s="24">
        <v>341.40968050040777</v>
      </c>
      <c r="CL18" s="24">
        <v>341.70335889440491</v>
      </c>
      <c r="CM18" s="24">
        <v>342.35935890141388</v>
      </c>
      <c r="CN18" s="24">
        <v>343.08087275308839</v>
      </c>
      <c r="CO18" s="24">
        <v>343.93158345623158</v>
      </c>
      <c r="CP18" s="24">
        <v>344.32554116023181</v>
      </c>
      <c r="CQ18" s="24">
        <v>345.00833539867517</v>
      </c>
      <c r="CR18" s="24">
        <v>346.52337908945441</v>
      </c>
      <c r="CS18" s="24">
        <v>349.04151744594247</v>
      </c>
      <c r="CT18" s="24">
        <v>350.69017488814211</v>
      </c>
      <c r="CU18" s="24">
        <v>354.66766972358772</v>
      </c>
      <c r="CV18" s="24">
        <v>372.00292688779928</v>
      </c>
      <c r="CW18" s="24">
        <v>409.52233751553638</v>
      </c>
      <c r="CX18" s="24">
        <v>415.59076334782469</v>
      </c>
      <c r="CY18" s="24">
        <v>8.3867430638994467</v>
      </c>
      <c r="CZ18" s="24">
        <v>8.4953077127056087</v>
      </c>
      <c r="DA18" s="24">
        <v>8.5249699556570793</v>
      </c>
      <c r="DB18" s="24">
        <v>8.6808249872531018</v>
      </c>
      <c r="DC18" s="24">
        <v>9.0652213471880234</v>
      </c>
      <c r="DD18" s="24">
        <v>9.5977438050330104</v>
      </c>
      <c r="DE18" s="24">
        <v>10.3803835772448</v>
      </c>
      <c r="DF18" s="24">
        <v>10.80171310436431</v>
      </c>
      <c r="DG18" s="24">
        <v>11.60746576134224</v>
      </c>
      <c r="DH18" s="24">
        <v>13.739966873745059</v>
      </c>
      <c r="DI18" s="24">
        <v>17.970213443669671</v>
      </c>
      <c r="DJ18" s="24">
        <v>20.927753335372259</v>
      </c>
      <c r="DK18" s="24">
        <v>27.831592974785231</v>
      </c>
      <c r="DL18" s="24">
        <v>45.165571859023231</v>
      </c>
      <c r="DM18" s="24">
        <v>62.457168402996942</v>
      </c>
      <c r="DN18" s="24">
        <v>66.489739653009309</v>
      </c>
      <c r="DO18" s="24">
        <v>873.23981917780827</v>
      </c>
    </row>
    <row r="19" spans="1:119" x14ac:dyDescent="0.3">
      <c r="A19" s="24" t="s">
        <v>378</v>
      </c>
      <c r="B19" s="24" t="s">
        <v>428</v>
      </c>
      <c r="C19" s="24" t="s">
        <v>429</v>
      </c>
      <c r="D19" s="24">
        <v>6.0000000000000001E-3</v>
      </c>
      <c r="E19" s="24">
        <v>5.6007000000000001E-5</v>
      </c>
      <c r="F19" s="24">
        <v>1.8534999999999999E-3</v>
      </c>
      <c r="G19" s="24">
        <v>8.75</v>
      </c>
      <c r="H19" s="24">
        <v>7.4999999999999997E-2</v>
      </c>
      <c r="I19" s="24">
        <v>3.03661</v>
      </c>
      <c r="J19" s="24">
        <v>293.14999999999998</v>
      </c>
      <c r="K19" s="24">
        <v>407.71499999999997</v>
      </c>
      <c r="L19" s="24">
        <v>80</v>
      </c>
      <c r="M19" s="24">
        <v>0.3</v>
      </c>
      <c r="N19" s="24">
        <v>8.2439258106241295E-2</v>
      </c>
      <c r="O19" s="24">
        <v>2.30985268088604E-2</v>
      </c>
      <c r="P19" s="24">
        <v>16.261296217087331</v>
      </c>
      <c r="Q19" s="24">
        <v>31.851960200980759</v>
      </c>
      <c r="R19" s="24">
        <v>37.310563347412277</v>
      </c>
      <c r="S19" s="24">
        <v>57.030168339808881</v>
      </c>
      <c r="T19" s="24">
        <v>44.021563667162532</v>
      </c>
      <c r="U19" s="24">
        <v>2.8374854763260329</v>
      </c>
      <c r="V19" s="24">
        <v>369.4951984807247</v>
      </c>
      <c r="W19" s="24">
        <v>7.7023780611292381</v>
      </c>
      <c r="X19" s="24">
        <v>6.464771492294286</v>
      </c>
      <c r="Y19" s="24">
        <v>7.4404465771073669</v>
      </c>
      <c r="Z19" s="24">
        <v>9.1633890859367835</v>
      </c>
      <c r="AA19" s="24">
        <v>5.1219264708820004E-4</v>
      </c>
      <c r="AB19" s="24">
        <v>1.092689803236357</v>
      </c>
      <c r="AC19" s="24">
        <v>6.9575085135554371</v>
      </c>
      <c r="AD19" s="24">
        <v>3.6604756817130961</v>
      </c>
      <c r="AE19" s="24">
        <v>3.3</v>
      </c>
      <c r="AF19" s="24">
        <v>7.8873054593871506E-2</v>
      </c>
      <c r="AG19" s="24">
        <v>2.2577030660875699E-2</v>
      </c>
      <c r="AH19" s="24">
        <v>35.172136297338177</v>
      </c>
      <c r="AI19" s="24">
        <v>15.417954318559699</v>
      </c>
      <c r="AJ19" s="24">
        <v>0.99701798531061081</v>
      </c>
      <c r="AK19" s="24">
        <v>1.8144658327243319</v>
      </c>
      <c r="AL19" s="24">
        <v>4.5909748063250024</v>
      </c>
      <c r="AM19" s="24">
        <v>37.63701545293771</v>
      </c>
      <c r="AN19" s="24">
        <v>49.198152081917733</v>
      </c>
      <c r="AO19" s="24">
        <v>91.998416518982182</v>
      </c>
      <c r="AP19" s="24">
        <v>37.63701545293771</v>
      </c>
      <c r="AQ19" s="24">
        <v>50.647369571935513</v>
      </c>
      <c r="AR19" s="24">
        <v>0.56232921267093172</v>
      </c>
      <c r="AS19" s="24">
        <v>11.15328576245585</v>
      </c>
      <c r="AT19" s="24">
        <v>99.999946180564663</v>
      </c>
      <c r="AU19" s="24">
        <v>2.0804198202449782</v>
      </c>
      <c r="AV19" s="24">
        <v>8.68871892644135</v>
      </c>
      <c r="AW19" s="24">
        <v>15.035132731770251</v>
      </c>
      <c r="AX19" s="24">
        <v>6.8132345427152279</v>
      </c>
      <c r="AY19" s="24">
        <v>6.8178094429490699</v>
      </c>
      <c r="AZ19" s="24">
        <v>9.5710981570919245</v>
      </c>
      <c r="BA19" s="24">
        <v>95.729707063384822</v>
      </c>
      <c r="BB19" s="24">
        <v>121.12734257361311</v>
      </c>
      <c r="BC19" s="24">
        <v>3.779997646615322</v>
      </c>
      <c r="BD19" s="24">
        <v>6.1511952363314588</v>
      </c>
      <c r="BE19" s="24">
        <v>25.92834110189197</v>
      </c>
      <c r="BF19" s="24">
        <v>32.753042429741633</v>
      </c>
      <c r="BG19" s="24">
        <v>37.438649706923272</v>
      </c>
      <c r="BH19" s="24">
        <v>57.065250885435553</v>
      </c>
      <c r="BI19" s="24">
        <v>45.078993440819623</v>
      </c>
      <c r="BJ19" s="24">
        <v>2.8466340310742968</v>
      </c>
      <c r="BK19" s="24">
        <v>7.7565622727930732</v>
      </c>
      <c r="BL19" s="24">
        <v>6.4895875500967382</v>
      </c>
      <c r="BM19" s="24">
        <v>7.4868579731748683</v>
      </c>
      <c r="BN19" s="24">
        <v>9.2063486082697601</v>
      </c>
      <c r="BO19" s="24">
        <v>0.83167822630594612</v>
      </c>
      <c r="BP19" s="24">
        <v>3.7799976466153229</v>
      </c>
      <c r="BQ19" s="24">
        <v>36.318596205106019</v>
      </c>
      <c r="BR19" s="24">
        <v>48.541831899428232</v>
      </c>
      <c r="BS19" s="24">
        <v>48.13030332701959</v>
      </c>
      <c r="BT19" s="24">
        <v>67.32733038870613</v>
      </c>
      <c r="BU19" s="24">
        <v>57.017214454777289</v>
      </c>
      <c r="BV19" s="24">
        <v>4.5103639775216129</v>
      </c>
      <c r="BW19" s="24">
        <v>361.8030783047613</v>
      </c>
      <c r="BX19" s="24">
        <v>8.3795466714721183</v>
      </c>
      <c r="BY19" s="24">
        <v>7.1003077629236762</v>
      </c>
      <c r="BZ19" s="24">
        <v>8.0127585432608424</v>
      </c>
      <c r="CA19" s="24">
        <v>9.6980088318203084</v>
      </c>
      <c r="CB19" s="24">
        <v>4.3857362785715711E-5</v>
      </c>
      <c r="CC19" s="24">
        <v>0.64426633617728102</v>
      </c>
      <c r="CD19" s="24">
        <v>5.2116157044911366</v>
      </c>
      <c r="CE19" s="24">
        <v>5.1542045815710944</v>
      </c>
      <c r="CF19" s="24">
        <v>351.35113706735092</v>
      </c>
      <c r="CG19" s="24">
        <v>352.88440058280912</v>
      </c>
      <c r="CH19" s="24">
        <v>356.24480215935222</v>
      </c>
      <c r="CI19" s="24">
        <v>352.39143219422459</v>
      </c>
      <c r="CJ19" s="24">
        <v>352.80461689906082</v>
      </c>
      <c r="CK19" s="24">
        <v>352.88440058280912</v>
      </c>
      <c r="CL19" s="24">
        <v>353.2092959650285</v>
      </c>
      <c r="CM19" s="24">
        <v>353.91378577672702</v>
      </c>
      <c r="CN19" s="24">
        <v>354.65302993585033</v>
      </c>
      <c r="CO19" s="24">
        <v>355.47044603462689</v>
      </c>
      <c r="CP19" s="24">
        <v>355.81940297918322</v>
      </c>
      <c r="CQ19" s="24">
        <v>356.38175530886269</v>
      </c>
      <c r="CR19" s="24">
        <v>357.43788269381002</v>
      </c>
      <c r="CS19" s="24">
        <v>358.70501599065972</v>
      </c>
      <c r="CT19" s="24">
        <v>359.31341242958001</v>
      </c>
      <c r="CU19" s="24">
        <v>360.60871342154587</v>
      </c>
      <c r="CV19" s="24">
        <v>368.74416307422342</v>
      </c>
      <c r="CW19" s="24">
        <v>398.25788123458278</v>
      </c>
      <c r="CX19" s="24">
        <v>403.5362789418503</v>
      </c>
      <c r="CY19" s="24">
        <v>3.824838719603266</v>
      </c>
      <c r="CZ19" s="24">
        <v>3.8625037951469401</v>
      </c>
      <c r="DA19" s="24">
        <v>3.8726501767296</v>
      </c>
      <c r="DB19" s="24">
        <v>3.9260307414073492</v>
      </c>
      <c r="DC19" s="24">
        <v>4.0581831628276026</v>
      </c>
      <c r="DD19" s="24">
        <v>4.2386246433692074</v>
      </c>
      <c r="DE19" s="24">
        <v>4.4966917321230051</v>
      </c>
      <c r="DF19" s="24">
        <v>4.6347416827190679</v>
      </c>
      <c r="DG19" s="24">
        <v>4.8989689492296797</v>
      </c>
      <c r="DH19" s="24">
        <v>5.6003834551093394</v>
      </c>
      <c r="DI19" s="24">
        <v>7.061765842904796</v>
      </c>
      <c r="DJ19" s="24">
        <v>8.198284274073016</v>
      </c>
      <c r="DK19" s="24">
        <v>11.530498772666039</v>
      </c>
      <c r="DL19" s="24">
        <v>28.8894816180382</v>
      </c>
      <c r="DM19" s="24">
        <v>57.004409104659672</v>
      </c>
      <c r="DN19" s="24">
        <v>63.975072659140743</v>
      </c>
      <c r="DO19" s="24">
        <v>969.07765096259004</v>
      </c>
    </row>
    <row r="20" spans="1:119" x14ac:dyDescent="0.3">
      <c r="A20" s="24" t="s">
        <v>392</v>
      </c>
      <c r="B20" s="24" t="s">
        <v>428</v>
      </c>
      <c r="C20" s="24" t="s">
        <v>429</v>
      </c>
      <c r="D20" s="24">
        <v>6.0000000000000001E-3</v>
      </c>
      <c r="E20" s="24">
        <v>8.0000000000000007E-5</v>
      </c>
      <c r="F20" s="24">
        <v>2.6270500000000001E-3</v>
      </c>
      <c r="G20" s="24">
        <v>8.75</v>
      </c>
      <c r="H20" s="24">
        <v>7.4999999999999997E-2</v>
      </c>
      <c r="I20" s="24">
        <v>2.67</v>
      </c>
      <c r="J20" s="24">
        <v>293.14999999999998</v>
      </c>
      <c r="K20" s="24">
        <v>416.00299999999999</v>
      </c>
      <c r="L20" s="24">
        <v>80</v>
      </c>
      <c r="M20" s="24">
        <v>0.3</v>
      </c>
      <c r="N20" s="24">
        <v>0.1458429934307324</v>
      </c>
      <c r="O20" s="24">
        <v>2.9851952203736199E-2</v>
      </c>
      <c r="P20" s="24">
        <v>30.076747259037528</v>
      </c>
      <c r="Q20" s="24">
        <v>41.462673609510801</v>
      </c>
      <c r="R20" s="24">
        <v>50.300677343844512</v>
      </c>
      <c r="S20" s="24">
        <v>85.767321494499015</v>
      </c>
      <c r="T20" s="24">
        <v>61.350940359796127</v>
      </c>
      <c r="U20" s="24">
        <v>2.5013832459656449</v>
      </c>
      <c r="V20" s="24">
        <v>363.38763034012248</v>
      </c>
      <c r="W20" s="24">
        <v>7.0888846044721072</v>
      </c>
      <c r="X20" s="24">
        <v>5.6576956217034704</v>
      </c>
      <c r="Y20" s="24">
        <v>6.9905176590276952</v>
      </c>
      <c r="Z20" s="24">
        <v>8.3903922740782821</v>
      </c>
      <c r="AA20" s="24">
        <v>6.5194145392160003E-4</v>
      </c>
      <c r="AB20" s="24">
        <v>1.107153564847106</v>
      </c>
      <c r="AC20" s="24">
        <v>4.8586124858113626</v>
      </c>
      <c r="AD20" s="24">
        <v>6.7761810584115976</v>
      </c>
      <c r="AE20" s="24">
        <v>4.5</v>
      </c>
      <c r="AF20" s="24">
        <v>0.1727838117876761</v>
      </c>
      <c r="AG20" s="24">
        <v>2.8986644284022801E-2</v>
      </c>
      <c r="AH20" s="24">
        <v>87.538711750899111</v>
      </c>
      <c r="AI20" s="24">
        <v>73.741297151312892</v>
      </c>
      <c r="AJ20" s="24">
        <v>0.76058876353495286</v>
      </c>
      <c r="AK20" s="24">
        <v>1.8320247106092591</v>
      </c>
      <c r="AL20" s="24">
        <v>6.3952431126954874</v>
      </c>
      <c r="AM20" s="24">
        <v>48.614853379205357</v>
      </c>
      <c r="AN20" s="24">
        <v>58.908060289248908</v>
      </c>
      <c r="AO20" s="24">
        <v>82.252096241465836</v>
      </c>
      <c r="AP20" s="24">
        <v>48.614853379205357</v>
      </c>
      <c r="AQ20" s="24">
        <v>41.004793831620532</v>
      </c>
      <c r="AR20" s="24">
        <v>0.65178562049382249</v>
      </c>
      <c r="AS20" s="24">
        <v>9.7285671686802839</v>
      </c>
      <c r="AT20" s="24">
        <v>95.336637669736163</v>
      </c>
      <c r="AU20" s="24">
        <v>3.060816218905499</v>
      </c>
      <c r="AV20" s="24">
        <v>9.3172887554671959</v>
      </c>
      <c r="AW20" s="24">
        <v>10.95859310745422</v>
      </c>
      <c r="AX20" s="24">
        <v>5.2448732485393208</v>
      </c>
      <c r="AY20" s="24">
        <v>4.450539313160677</v>
      </c>
      <c r="AZ20" s="24">
        <v>8.0254433267511782</v>
      </c>
      <c r="BA20" s="24">
        <v>88.228828169436525</v>
      </c>
      <c r="BB20" s="24">
        <v>122.19797781367051</v>
      </c>
      <c r="BC20" s="24">
        <v>7.3053134495430676</v>
      </c>
      <c r="BD20" s="24">
        <v>13.652924944786101</v>
      </c>
      <c r="BE20" s="24">
        <v>30.174934188461801</v>
      </c>
      <c r="BF20" s="24">
        <v>44.424386305443271</v>
      </c>
      <c r="BG20" s="24">
        <v>58.009077695208617</v>
      </c>
      <c r="BH20" s="24">
        <v>85.877796116121658</v>
      </c>
      <c r="BI20" s="24">
        <v>64.818834610360128</v>
      </c>
      <c r="BJ20" s="24">
        <v>2.595163610440856</v>
      </c>
      <c r="BK20" s="24">
        <v>7.1114720280907706</v>
      </c>
      <c r="BL20" s="24">
        <v>5.6678155542763031</v>
      </c>
      <c r="BM20" s="24">
        <v>7.0061069201544166</v>
      </c>
      <c r="BN20" s="24">
        <v>8.4626972149496922</v>
      </c>
      <c r="BO20" s="24">
        <v>0.96024388148927176</v>
      </c>
      <c r="BP20" s="24">
        <v>7.3053134495430694</v>
      </c>
      <c r="BQ20" s="24">
        <v>48.699580228562951</v>
      </c>
      <c r="BR20" s="24">
        <v>66.408518416699721</v>
      </c>
      <c r="BS20" s="24">
        <v>67.403470668031687</v>
      </c>
      <c r="BT20" s="24">
        <v>95.239148200016757</v>
      </c>
      <c r="BU20" s="24">
        <v>80.69367253367173</v>
      </c>
      <c r="BV20" s="24">
        <v>3.862091960264451</v>
      </c>
      <c r="BW20" s="24">
        <v>352.06909831506562</v>
      </c>
      <c r="BX20" s="24">
        <v>7.2161527254061184</v>
      </c>
      <c r="BY20" s="24">
        <v>5.7222643781503386</v>
      </c>
      <c r="BZ20" s="24">
        <v>7.0643402493282723</v>
      </c>
      <c r="CA20" s="24">
        <v>8.7103779041613034</v>
      </c>
      <c r="CB20" s="24">
        <v>1.361735070905E-4</v>
      </c>
      <c r="CC20" s="24">
        <v>0.69046248672661814</v>
      </c>
      <c r="CD20" s="24">
        <v>2.5593371561575049</v>
      </c>
      <c r="CE20" s="24">
        <v>9.7575607093860679</v>
      </c>
      <c r="CF20" s="24">
        <v>343.63268069284902</v>
      </c>
      <c r="CG20" s="24">
        <v>344.98055166928572</v>
      </c>
      <c r="CH20" s="24">
        <v>348.00314640081331</v>
      </c>
      <c r="CI20" s="24">
        <v>344.52957995162029</v>
      </c>
      <c r="CJ20" s="24">
        <v>344.90455490373353</v>
      </c>
      <c r="CK20" s="24">
        <v>344.98055166928572</v>
      </c>
      <c r="CL20" s="24">
        <v>345.28458647937993</v>
      </c>
      <c r="CM20" s="24">
        <v>345.9620490902106</v>
      </c>
      <c r="CN20" s="24">
        <v>346.69831332557322</v>
      </c>
      <c r="CO20" s="24">
        <v>347.55887988361371</v>
      </c>
      <c r="CP20" s="24">
        <v>347.9493384591388</v>
      </c>
      <c r="CQ20" s="24">
        <v>348.61573568359728</v>
      </c>
      <c r="CR20" s="24">
        <v>350.0597050288124</v>
      </c>
      <c r="CS20" s="24">
        <v>352.36944824817039</v>
      </c>
      <c r="CT20" s="24">
        <v>353.85742316094593</v>
      </c>
      <c r="CU20" s="24">
        <v>357.44260110662867</v>
      </c>
      <c r="CV20" s="24">
        <v>372.94054860134008</v>
      </c>
      <c r="CW20" s="24">
        <v>406.07528319602682</v>
      </c>
      <c r="CX20" s="24">
        <v>411.67310931723227</v>
      </c>
      <c r="CY20" s="24">
        <v>7.4535452520582179</v>
      </c>
      <c r="CZ20" s="24">
        <v>7.5568710278804767</v>
      </c>
      <c r="DA20" s="24">
        <v>7.5850765283706396</v>
      </c>
      <c r="DB20" s="24">
        <v>7.7341279205454079</v>
      </c>
      <c r="DC20" s="24">
        <v>8.1024704347505434</v>
      </c>
      <c r="DD20" s="24">
        <v>8.6108675137910478</v>
      </c>
      <c r="DE20" s="24">
        <v>9.3549630900875673</v>
      </c>
      <c r="DF20" s="24">
        <v>9.7561504159106818</v>
      </c>
      <c r="DG20" s="24">
        <v>10.527651302226801</v>
      </c>
      <c r="DH20" s="24">
        <v>12.594353054004261</v>
      </c>
      <c r="DI20" s="24">
        <v>16.755580205023058</v>
      </c>
      <c r="DJ20" s="24">
        <v>19.710493783743729</v>
      </c>
      <c r="DK20" s="24">
        <v>26.770986901714771</v>
      </c>
      <c r="DL20" s="24">
        <v>44.461661181616343</v>
      </c>
      <c r="DM20" s="24">
        <v>62.296080793718133</v>
      </c>
      <c r="DN20" s="24">
        <v>66.41897529404072</v>
      </c>
      <c r="DO20" s="24">
        <v>906.43869487552161</v>
      </c>
    </row>
    <row r="21" spans="1:119" x14ac:dyDescent="0.3">
      <c r="A21" s="24" t="s">
        <v>388</v>
      </c>
      <c r="B21" s="24" t="s">
        <v>428</v>
      </c>
      <c r="C21" s="24" t="s">
        <v>429</v>
      </c>
      <c r="D21" s="24">
        <v>6.0000000000000001E-3</v>
      </c>
      <c r="E21" s="24">
        <v>8.0000000000000007E-5</v>
      </c>
      <c r="F21" s="24">
        <v>2.78006E-3</v>
      </c>
      <c r="G21" s="24">
        <v>8.75</v>
      </c>
      <c r="H21" s="24">
        <v>7.4999999999999997E-2</v>
      </c>
      <c r="I21" s="24">
        <v>2.67</v>
      </c>
      <c r="J21" s="24">
        <v>293.14999999999998</v>
      </c>
      <c r="K21" s="24">
        <v>413.64400000000001</v>
      </c>
      <c r="L21" s="24">
        <v>80</v>
      </c>
      <c r="M21" s="24">
        <v>0.3</v>
      </c>
      <c r="N21" s="24">
        <v>0.18506462145302399</v>
      </c>
      <c r="O21" s="24">
        <v>3.1125859348065301E-2</v>
      </c>
      <c r="P21" s="24">
        <v>30.06158579179333</v>
      </c>
      <c r="Q21" s="24">
        <v>41.372487102924659</v>
      </c>
      <c r="R21" s="24">
        <v>50.286329119197013</v>
      </c>
      <c r="S21" s="24">
        <v>85.780813412699473</v>
      </c>
      <c r="T21" s="24">
        <v>61.324812563944782</v>
      </c>
      <c r="U21" s="24">
        <v>2.4972591704551421</v>
      </c>
      <c r="V21" s="24">
        <v>359.09577741658188</v>
      </c>
      <c r="W21" s="24">
        <v>7.1052454318972211</v>
      </c>
      <c r="X21" s="24">
        <v>5.624559219141549</v>
      </c>
      <c r="Y21" s="24">
        <v>6.9819521044845292</v>
      </c>
      <c r="Z21" s="24">
        <v>8.3971076278324546</v>
      </c>
      <c r="AA21" s="24">
        <v>6.8852553138819999E-4</v>
      </c>
      <c r="AB21" s="24">
        <v>1.1080392742296059</v>
      </c>
      <c r="AC21" s="24">
        <v>2.900639086036112</v>
      </c>
      <c r="AD21" s="24">
        <v>7.6531751425646259</v>
      </c>
      <c r="AE21" s="24">
        <v>4.5</v>
      </c>
      <c r="AF21" s="24">
        <v>0.1744476989975752</v>
      </c>
      <c r="AG21" s="24">
        <v>3.0186285278253799E-2</v>
      </c>
      <c r="AH21" s="24">
        <v>92.195635973606642</v>
      </c>
      <c r="AI21" s="24">
        <v>83.403816908645013</v>
      </c>
      <c r="AJ21" s="24">
        <v>0.57428261809931991</v>
      </c>
      <c r="AK21" s="24">
        <v>1.3815377187744731</v>
      </c>
      <c r="AL21" s="24">
        <v>6.7336810822301194</v>
      </c>
      <c r="AM21" s="24">
        <v>52.015398126903293</v>
      </c>
      <c r="AN21" s="24">
        <v>61.862818865772653</v>
      </c>
      <c r="AO21" s="24">
        <v>82.004998905651206</v>
      </c>
      <c r="AP21" s="24">
        <v>52.015398126903293</v>
      </c>
      <c r="AQ21" s="24">
        <v>38.070117294851073</v>
      </c>
      <c r="AR21" s="24">
        <v>0.65649129480859669</v>
      </c>
      <c r="AS21" s="24">
        <v>9.2579932834370418</v>
      </c>
      <c r="AT21" s="24">
        <v>82.501689588836285</v>
      </c>
      <c r="AU21" s="24">
        <v>3.2731071428175968</v>
      </c>
      <c r="AV21" s="24">
        <v>9.1383799443339964</v>
      </c>
      <c r="AW21" s="24">
        <v>10.05105129900593</v>
      </c>
      <c r="AX21" s="24">
        <v>4.8856141830683324</v>
      </c>
      <c r="AY21" s="24">
        <v>2.5703766167200421</v>
      </c>
      <c r="AZ21" s="24">
        <v>6.199962051867157</v>
      </c>
      <c r="BA21" s="24">
        <v>83.761146469247336</v>
      </c>
      <c r="BB21" s="24">
        <v>119.716966947712</v>
      </c>
      <c r="BC21" s="24">
        <v>8.2686673857128721</v>
      </c>
      <c r="BD21" s="24">
        <v>15.2584022243859</v>
      </c>
      <c r="BE21" s="24">
        <v>30.16199591840174</v>
      </c>
      <c r="BF21" s="24">
        <v>44.405270942089203</v>
      </c>
      <c r="BG21" s="24">
        <v>57.972194934019932</v>
      </c>
      <c r="BH21" s="24">
        <v>85.887007231349656</v>
      </c>
      <c r="BI21" s="24">
        <v>64.827874996387663</v>
      </c>
      <c r="BJ21" s="24">
        <v>2.59731627132494</v>
      </c>
      <c r="BK21" s="24">
        <v>7.1200231230601334</v>
      </c>
      <c r="BL21" s="24">
        <v>5.6445259541204882</v>
      </c>
      <c r="BM21" s="24">
        <v>7.0020325439813318</v>
      </c>
      <c r="BN21" s="24">
        <v>8.4756721662293391</v>
      </c>
      <c r="BO21" s="24">
        <v>0.96123687185504003</v>
      </c>
      <c r="BP21" s="24">
        <v>8.2686673857128721</v>
      </c>
      <c r="BQ21" s="24">
        <v>48.698131844503727</v>
      </c>
      <c r="BR21" s="24">
        <v>66.680110806790069</v>
      </c>
      <c r="BS21" s="24">
        <v>67.345733391366593</v>
      </c>
      <c r="BT21" s="24">
        <v>95.233130960826202</v>
      </c>
      <c r="BU21" s="24">
        <v>80.637352515326</v>
      </c>
      <c r="BV21" s="24">
        <v>3.8639247292074979</v>
      </c>
      <c r="BW21" s="24">
        <v>346.95556727777438</v>
      </c>
      <c r="BX21" s="24">
        <v>7.1873665225569621</v>
      </c>
      <c r="BY21" s="24">
        <v>5.673102914265284</v>
      </c>
      <c r="BZ21" s="24">
        <v>7.0971977226145553</v>
      </c>
      <c r="CA21" s="24">
        <v>8.6610904773983357</v>
      </c>
      <c r="CB21" s="24">
        <v>1.4549253209739999E-4</v>
      </c>
      <c r="CC21" s="24">
        <v>0.69098659666965656</v>
      </c>
      <c r="CD21" s="24">
        <v>1.065337895530563</v>
      </c>
      <c r="CE21" s="24">
        <v>11.073526383007369</v>
      </c>
      <c r="CF21" s="24">
        <v>339.1030150358759</v>
      </c>
      <c r="CG21" s="24">
        <v>340.34296105170881</v>
      </c>
      <c r="CH21" s="24">
        <v>343.13124437750679</v>
      </c>
      <c r="CI21" s="24">
        <v>339.9246719183173</v>
      </c>
      <c r="CJ21" s="24">
        <v>340.27200504876089</v>
      </c>
      <c r="CK21" s="24">
        <v>340.34296105170881</v>
      </c>
      <c r="CL21" s="24">
        <v>340.63170014428539</v>
      </c>
      <c r="CM21" s="24">
        <v>341.27540215186832</v>
      </c>
      <c r="CN21" s="24">
        <v>341.98485726236999</v>
      </c>
      <c r="CO21" s="24">
        <v>342.81964047881081</v>
      </c>
      <c r="CP21" s="24">
        <v>343.20763622072388</v>
      </c>
      <c r="CQ21" s="24">
        <v>343.87597794689998</v>
      </c>
      <c r="CR21" s="24">
        <v>345.34995497661208</v>
      </c>
      <c r="CS21" s="24">
        <v>347.78231767698901</v>
      </c>
      <c r="CT21" s="24">
        <v>349.35999762083497</v>
      </c>
      <c r="CU21" s="24">
        <v>353.11886987019028</v>
      </c>
      <c r="CV21" s="24">
        <v>369.23603912607848</v>
      </c>
      <c r="CW21" s="24">
        <v>403.67375858328433</v>
      </c>
      <c r="CX21" s="24">
        <v>409.31834849850031</v>
      </c>
      <c r="CY21" s="24">
        <v>8.4316069953368178</v>
      </c>
      <c r="CZ21" s="24">
        <v>8.5436418362275219</v>
      </c>
      <c r="DA21" s="24">
        <v>8.5741436356347016</v>
      </c>
      <c r="DB21" s="24">
        <v>8.7351917650974507</v>
      </c>
      <c r="DC21" s="24">
        <v>9.1320324901999381</v>
      </c>
      <c r="DD21" s="24">
        <v>9.6782272753170417</v>
      </c>
      <c r="DE21" s="24">
        <v>10.477886547936651</v>
      </c>
      <c r="DF21" s="24">
        <v>10.908907075086709</v>
      </c>
      <c r="DG21" s="24">
        <v>11.73572181706635</v>
      </c>
      <c r="DH21" s="24">
        <v>13.922307170697721</v>
      </c>
      <c r="DI21" s="24">
        <v>18.245190695807558</v>
      </c>
      <c r="DJ21" s="24">
        <v>21.23688445494961</v>
      </c>
      <c r="DK21" s="24">
        <v>28.199678885981349</v>
      </c>
      <c r="DL21" s="24">
        <v>45.398588133607333</v>
      </c>
      <c r="DM21" s="24">
        <v>62.581319891292907</v>
      </c>
      <c r="DN21" s="24">
        <v>66.54295577037135</v>
      </c>
      <c r="DO21" s="24">
        <v>846.0306014613991</v>
      </c>
    </row>
    <row r="22" spans="1:119" x14ac:dyDescent="0.3">
      <c r="A22" s="24" t="s">
        <v>395</v>
      </c>
      <c r="B22" s="24" t="s">
        <v>428</v>
      </c>
      <c r="C22" s="24" t="s">
        <v>429</v>
      </c>
      <c r="D22" s="24">
        <v>6.0000000000000001E-3</v>
      </c>
      <c r="E22" s="24">
        <v>8.0000000000000007E-5</v>
      </c>
      <c r="F22" s="24">
        <v>2.86324E-3</v>
      </c>
      <c r="G22" s="24">
        <v>8.75</v>
      </c>
      <c r="H22" s="24">
        <v>7.4999999999999997E-2</v>
      </c>
      <c r="I22" s="24">
        <v>2.67</v>
      </c>
      <c r="J22" s="24">
        <v>293.14999999999998</v>
      </c>
      <c r="K22" s="24">
        <v>417.78899999999999</v>
      </c>
      <c r="L22" s="24">
        <v>80</v>
      </c>
      <c r="M22" s="24">
        <v>0.3</v>
      </c>
      <c r="N22" s="24">
        <v>0.17623590171061279</v>
      </c>
      <c r="O22" s="24">
        <v>3.1918377959956903E-2</v>
      </c>
      <c r="P22" s="24">
        <v>30.07247531021909</v>
      </c>
      <c r="Q22" s="24">
        <v>41.428075584196769</v>
      </c>
      <c r="R22" s="24">
        <v>50.30720123993401</v>
      </c>
      <c r="S22" s="24">
        <v>85.78307148746913</v>
      </c>
      <c r="T22" s="24">
        <v>61.40876049304493</v>
      </c>
      <c r="U22" s="24">
        <v>2.497089176481464</v>
      </c>
      <c r="V22" s="24">
        <v>361.42210732223413</v>
      </c>
      <c r="W22" s="24">
        <v>7.079180699739581</v>
      </c>
      <c r="X22" s="24">
        <v>5.6353916937253121</v>
      </c>
      <c r="Y22" s="24">
        <v>6.9623811440989778</v>
      </c>
      <c r="Z22" s="24">
        <v>8.4462823232901805</v>
      </c>
      <c r="AA22" s="24">
        <v>7.0834956129059998E-4</v>
      </c>
      <c r="AB22" s="24">
        <v>1.1074079814447479</v>
      </c>
      <c r="AC22" s="24">
        <v>4.0150811120037293</v>
      </c>
      <c r="AD22" s="24">
        <v>7.4371394306374583</v>
      </c>
      <c r="AE22" s="24">
        <v>4.5</v>
      </c>
      <c r="AF22" s="24">
        <v>0.1753519390121594</v>
      </c>
      <c r="AG22" s="24">
        <v>3.0931107189948199E-2</v>
      </c>
      <c r="AH22" s="24">
        <v>91.750112094996481</v>
      </c>
      <c r="AI22" s="24">
        <v>81.25949905003111</v>
      </c>
      <c r="AJ22" s="24">
        <v>0.6740318890527508</v>
      </c>
      <c r="AK22" s="24">
        <v>1.720297910038127</v>
      </c>
      <c r="AL22" s="24">
        <v>6.9448334739286537</v>
      </c>
      <c r="AM22" s="24">
        <v>51.92559092806632</v>
      </c>
      <c r="AN22" s="24">
        <v>61.80987690989393</v>
      </c>
      <c r="AO22" s="24">
        <v>81.95105434313264</v>
      </c>
      <c r="AP22" s="24">
        <v>51.92559092806632</v>
      </c>
      <c r="AQ22" s="24">
        <v>38.146838770893687</v>
      </c>
      <c r="AR22" s="24">
        <v>0.67034877269466919</v>
      </c>
      <c r="AS22" s="24">
        <v>9.2572215283453154</v>
      </c>
      <c r="AT22" s="24">
        <v>90.242916381635155</v>
      </c>
      <c r="AU22" s="24">
        <v>3.3616990951151831</v>
      </c>
      <c r="AV22" s="24">
        <v>9.4527406998011916</v>
      </c>
      <c r="AW22" s="24">
        <v>10.12281752662884</v>
      </c>
      <c r="AX22" s="24">
        <v>4.900026278100774</v>
      </c>
      <c r="AY22" s="24">
        <v>3.602134106601528</v>
      </c>
      <c r="AZ22" s="24">
        <v>7.6475496930714213</v>
      </c>
      <c r="BA22" s="24">
        <v>86.172778664076759</v>
      </c>
      <c r="BB22" s="24">
        <v>122.48532456241151</v>
      </c>
      <c r="BC22" s="24">
        <v>8.0138015775011819</v>
      </c>
      <c r="BD22" s="24">
        <v>14.783862813069531</v>
      </c>
      <c r="BE22" s="24">
        <v>30.151547433128279</v>
      </c>
      <c r="BF22" s="24">
        <v>44.448908893957316</v>
      </c>
      <c r="BG22" s="24">
        <v>57.986344851708843</v>
      </c>
      <c r="BH22" s="24">
        <v>85.883777724685743</v>
      </c>
      <c r="BI22" s="24">
        <v>64.869391720955903</v>
      </c>
      <c r="BJ22" s="24">
        <v>2.5984270103402531</v>
      </c>
      <c r="BK22" s="24">
        <v>7.1166209332885311</v>
      </c>
      <c r="BL22" s="24">
        <v>5.648537484710408</v>
      </c>
      <c r="BM22" s="24">
        <v>6.9987393236473148</v>
      </c>
      <c r="BN22" s="24">
        <v>8.5245105405296648</v>
      </c>
      <c r="BO22" s="24">
        <v>0.96112680380327598</v>
      </c>
      <c r="BP22" s="24">
        <v>8.0138015775011837</v>
      </c>
      <c r="BQ22" s="24">
        <v>48.726901506117841</v>
      </c>
      <c r="BR22" s="24">
        <v>66.448900024079492</v>
      </c>
      <c r="BS22" s="24">
        <v>67.347212262511945</v>
      </c>
      <c r="BT22" s="24">
        <v>95.195009383244923</v>
      </c>
      <c r="BU22" s="24">
        <v>80.523911066694964</v>
      </c>
      <c r="BV22" s="24">
        <v>3.8948786202901831</v>
      </c>
      <c r="BW22" s="24">
        <v>349.79079822491542</v>
      </c>
      <c r="BX22" s="24">
        <v>7.2866179332530221</v>
      </c>
      <c r="BY22" s="24">
        <v>5.7304178867543101</v>
      </c>
      <c r="BZ22" s="24">
        <v>7.1709680008656331</v>
      </c>
      <c r="CA22" s="24">
        <v>8.7731712078439941</v>
      </c>
      <c r="CB22" s="24">
        <v>1.5062239875020001E-4</v>
      </c>
      <c r="CC22" s="24">
        <v>0.68997819384118764</v>
      </c>
      <c r="CD22" s="24">
        <v>1.7271524249057</v>
      </c>
      <c r="CE22" s="24">
        <v>10.6321301953435</v>
      </c>
      <c r="CF22" s="24">
        <v>340.74978751827729</v>
      </c>
      <c r="CG22" s="24">
        <v>342.03072509618789</v>
      </c>
      <c r="CH22" s="24">
        <v>344.91409002005008</v>
      </c>
      <c r="CI22" s="24">
        <v>341.60134795526938</v>
      </c>
      <c r="CJ22" s="24">
        <v>341.95840068975718</v>
      </c>
      <c r="CK22" s="24">
        <v>342.03072509618789</v>
      </c>
      <c r="CL22" s="24">
        <v>342.32472760378482</v>
      </c>
      <c r="CM22" s="24">
        <v>342.98478975227738</v>
      </c>
      <c r="CN22" s="24">
        <v>343.70954065029389</v>
      </c>
      <c r="CO22" s="24">
        <v>344.56220303961902</v>
      </c>
      <c r="CP22" s="24">
        <v>344.95416469510963</v>
      </c>
      <c r="CQ22" s="24">
        <v>345.63120106102292</v>
      </c>
      <c r="CR22" s="24">
        <v>347.1164619942686</v>
      </c>
      <c r="CS22" s="24">
        <v>349.56303337878319</v>
      </c>
      <c r="CT22" s="24">
        <v>351.15849744359008</v>
      </c>
      <c r="CU22" s="24">
        <v>354.99749677617439</v>
      </c>
      <c r="CV22" s="24">
        <v>371.71112300700901</v>
      </c>
      <c r="CW22" s="24">
        <v>407.42933246404618</v>
      </c>
      <c r="CX22" s="24">
        <v>413.28954406940159</v>
      </c>
      <c r="CY22" s="24">
        <v>8.1690947426987286</v>
      </c>
      <c r="CZ22" s="24">
        <v>8.2765959361273875</v>
      </c>
      <c r="DA22" s="24">
        <v>8.3060002105042354</v>
      </c>
      <c r="DB22" s="24">
        <v>8.4601339743847142</v>
      </c>
      <c r="DC22" s="24">
        <v>8.842152595643805</v>
      </c>
      <c r="DD22" s="24">
        <v>9.3693284091528444</v>
      </c>
      <c r="DE22" s="24">
        <v>10.14375614406713</v>
      </c>
      <c r="DF22" s="24">
        <v>10.560726420555209</v>
      </c>
      <c r="DG22" s="24">
        <v>11.360991903890961</v>
      </c>
      <c r="DH22" s="24">
        <v>13.488365308447889</v>
      </c>
      <c r="DI22" s="24">
        <v>17.725890249211361</v>
      </c>
      <c r="DJ22" s="24">
        <v>20.69214385161877</v>
      </c>
      <c r="DK22" s="24">
        <v>27.624197966490339</v>
      </c>
      <c r="DL22" s="24">
        <v>45.175230862633882</v>
      </c>
      <c r="DM22" s="24">
        <v>62.448076392427637</v>
      </c>
      <c r="DN22" s="24">
        <v>66.484104855666644</v>
      </c>
      <c r="DO22" s="24">
        <v>875.06114708065547</v>
      </c>
    </row>
    <row r="23" spans="1:119" x14ac:dyDescent="0.3">
      <c r="A23" s="24" t="s">
        <v>384</v>
      </c>
      <c r="B23" s="24" t="s">
        <v>428</v>
      </c>
      <c r="C23" s="24" t="s">
        <v>429</v>
      </c>
      <c r="D23" s="24">
        <v>6.0000000000000001E-3</v>
      </c>
      <c r="E23" s="24">
        <v>5.9884199999999998E-5</v>
      </c>
      <c r="F23" s="24">
        <v>1.9451799999999999E-3</v>
      </c>
      <c r="G23" s="24">
        <v>8.75</v>
      </c>
      <c r="H23" s="24">
        <v>7.4999999999999997E-2</v>
      </c>
      <c r="I23" s="24">
        <v>2.9773700000000001</v>
      </c>
      <c r="J23" s="24">
        <v>293.14999999999998</v>
      </c>
      <c r="K23" s="24">
        <v>410.94600000000003</v>
      </c>
      <c r="L23" s="24">
        <v>80</v>
      </c>
      <c r="M23" s="24">
        <v>0.3</v>
      </c>
      <c r="N23" s="24">
        <v>8.2460278291554404E-2</v>
      </c>
      <c r="O23" s="24">
        <v>2.3924846324225198E-2</v>
      </c>
      <c r="P23" s="24">
        <v>25.142748598407341</v>
      </c>
      <c r="Q23" s="24">
        <v>33.686744111624911</v>
      </c>
      <c r="R23" s="24">
        <v>45.342380829399197</v>
      </c>
      <c r="S23" s="24">
        <v>65.679352420024557</v>
      </c>
      <c r="T23" s="24">
        <v>46.950757200174401</v>
      </c>
      <c r="U23" s="24">
        <v>2.7600317251313649</v>
      </c>
      <c r="V23" s="24">
        <v>370.58514746332202</v>
      </c>
      <c r="W23" s="24">
        <v>7.5484840815720062</v>
      </c>
      <c r="X23" s="24">
        <v>6.3165645257872951</v>
      </c>
      <c r="Y23" s="24">
        <v>7.342254261053915</v>
      </c>
      <c r="Z23" s="24">
        <v>8.7940781502665626</v>
      </c>
      <c r="AA23" s="24">
        <v>5.2419459493820001E-4</v>
      </c>
      <c r="AB23" s="24">
        <v>0.89401136596986996</v>
      </c>
      <c r="AC23" s="24">
        <v>6.8046565043822698</v>
      </c>
      <c r="AD23" s="24">
        <v>3.8591429808720061</v>
      </c>
      <c r="AE23" s="24">
        <v>3.3</v>
      </c>
      <c r="AF23" s="24">
        <v>0.101720480633737</v>
      </c>
      <c r="AG23" s="24">
        <v>2.33658226090642E-2</v>
      </c>
      <c r="AH23" s="24">
        <v>42.705524654531409</v>
      </c>
      <c r="AI23" s="24">
        <v>20.645960948273341</v>
      </c>
      <c r="AJ23" s="24">
        <v>1.0693943658028451</v>
      </c>
      <c r="AK23" s="24">
        <v>1.954895552201019</v>
      </c>
      <c r="AL23" s="24">
        <v>4.8135049182043703</v>
      </c>
      <c r="AM23" s="24">
        <v>38.402100615441597</v>
      </c>
      <c r="AN23" s="24">
        <v>49.893151656670703</v>
      </c>
      <c r="AO23" s="24">
        <v>89.687770031706251</v>
      </c>
      <c r="AP23" s="24">
        <v>38.402100615441597</v>
      </c>
      <c r="AQ23" s="24">
        <v>49.961934832820738</v>
      </c>
      <c r="AR23" s="24">
        <v>0.57278298598040278</v>
      </c>
      <c r="AS23" s="24">
        <v>11.06318156575726</v>
      </c>
      <c r="AT23" s="24">
        <v>99.999827261716604</v>
      </c>
      <c r="AU23" s="24">
        <v>2.1885367002326039</v>
      </c>
      <c r="AV23" s="24">
        <v>8.9337610497017916</v>
      </c>
      <c r="AW23" s="24">
        <v>14.69545371366549</v>
      </c>
      <c r="AX23" s="24">
        <v>6.681522160140223</v>
      </c>
      <c r="AY23" s="24">
        <v>6.6581118472445544</v>
      </c>
      <c r="AZ23" s="24">
        <v>9.0837540751329797</v>
      </c>
      <c r="BA23" s="24">
        <v>96.717078865263744</v>
      </c>
      <c r="BB23" s="24">
        <v>122.68723205402149</v>
      </c>
      <c r="BC23" s="24">
        <v>4.0091765526837744</v>
      </c>
      <c r="BD23" s="24">
        <v>6.7865751718069536</v>
      </c>
      <c r="BE23" s="24">
        <v>25.16326476783928</v>
      </c>
      <c r="BF23" s="24">
        <v>34.86008897610678</v>
      </c>
      <c r="BG23" s="24">
        <v>45.457961180166002</v>
      </c>
      <c r="BH23" s="24">
        <v>65.763799578794689</v>
      </c>
      <c r="BI23" s="24">
        <v>48.299984480430609</v>
      </c>
      <c r="BJ23" s="24">
        <v>2.7799546309371319</v>
      </c>
      <c r="BK23" s="24">
        <v>7.6778640491657599</v>
      </c>
      <c r="BL23" s="24">
        <v>6.3480011461922796</v>
      </c>
      <c r="BM23" s="24">
        <v>7.4125272296851374</v>
      </c>
      <c r="BN23" s="24">
        <v>8.9829184284881158</v>
      </c>
      <c r="BO23" s="24">
        <v>0.89314464962564255</v>
      </c>
      <c r="BP23" s="24">
        <v>4.0091765526837726</v>
      </c>
      <c r="BQ23" s="24">
        <v>35.365763466654471</v>
      </c>
      <c r="BR23" s="24">
        <v>50.009702145355128</v>
      </c>
      <c r="BS23" s="24">
        <v>55.658659660766482</v>
      </c>
      <c r="BT23" s="24">
        <v>75.46494032377835</v>
      </c>
      <c r="BU23" s="24">
        <v>59.097700876343701</v>
      </c>
      <c r="BV23" s="24">
        <v>4.1926910671411104</v>
      </c>
      <c r="BW23" s="24">
        <v>363.62187569508097</v>
      </c>
      <c r="BX23" s="24">
        <v>8.8031105589832883</v>
      </c>
      <c r="BY23" s="24">
        <v>6.9620280276170288</v>
      </c>
      <c r="BZ23" s="24">
        <v>8.1005032606212648</v>
      </c>
      <c r="CA23" s="24">
        <v>11.56469023974814</v>
      </c>
      <c r="CB23" s="24">
        <v>5.9359392030163668E-5</v>
      </c>
      <c r="CC23" s="24">
        <v>0.72044812256572532</v>
      </c>
      <c r="CD23" s="24">
        <v>5.3835801941342876</v>
      </c>
      <c r="CE23" s="24">
        <v>5.3140520768974548</v>
      </c>
      <c r="CF23" s="24">
        <v>352.17386307450818</v>
      </c>
      <c r="CG23" s="24">
        <v>353.72189510716441</v>
      </c>
      <c r="CH23" s="24">
        <v>357.1292043002527</v>
      </c>
      <c r="CI23" s="24">
        <v>353.22247097271452</v>
      </c>
      <c r="CJ23" s="24">
        <v>353.64048611097428</v>
      </c>
      <c r="CK23" s="24">
        <v>353.72189510716441</v>
      </c>
      <c r="CL23" s="24">
        <v>354.05026037999278</v>
      </c>
      <c r="CM23" s="24">
        <v>354.76763755193889</v>
      </c>
      <c r="CN23" s="24">
        <v>355.52301975443447</v>
      </c>
      <c r="CO23" s="24">
        <v>356.35859444961511</v>
      </c>
      <c r="CP23" s="24">
        <v>356.72114528438948</v>
      </c>
      <c r="CQ23" s="24">
        <v>357.30090212420032</v>
      </c>
      <c r="CR23" s="24">
        <v>358.40272273930913</v>
      </c>
      <c r="CS23" s="24">
        <v>359.75455712868359</v>
      </c>
      <c r="CT23" s="24">
        <v>360.43491095919751</v>
      </c>
      <c r="CU23" s="24">
        <v>361.92652190440521</v>
      </c>
      <c r="CV23" s="24">
        <v>372.06962487737923</v>
      </c>
      <c r="CW23" s="24">
        <v>401.33433351840091</v>
      </c>
      <c r="CX23" s="24">
        <v>406.70391419853729</v>
      </c>
      <c r="CY23" s="24">
        <v>4.0618614708559058</v>
      </c>
      <c r="CZ23" s="24">
        <v>4.105050863661007</v>
      </c>
      <c r="DA23" s="24">
        <v>4.1168219678771649</v>
      </c>
      <c r="DB23" s="24">
        <v>4.1798463507411094</v>
      </c>
      <c r="DC23" s="24">
        <v>4.3344041655531251</v>
      </c>
      <c r="DD23" s="24">
        <v>4.5424455753015982</v>
      </c>
      <c r="DE23" s="24">
        <v>4.8418995858898208</v>
      </c>
      <c r="DF23" s="24">
        <v>5.0032086899749366</v>
      </c>
      <c r="DG23" s="24">
        <v>5.3122436522128922</v>
      </c>
      <c r="DH23" s="24">
        <v>6.1370648690163616</v>
      </c>
      <c r="DI23" s="24">
        <v>7.87564270132959</v>
      </c>
      <c r="DJ23" s="24">
        <v>9.2351460899222939</v>
      </c>
      <c r="DK23" s="24">
        <v>13.272724191202199</v>
      </c>
      <c r="DL23" s="24">
        <v>31.493273217828289</v>
      </c>
      <c r="DM23" s="24">
        <v>57.969381778464971</v>
      </c>
      <c r="DN23" s="24">
        <v>64.476446324908963</v>
      </c>
      <c r="DO23" s="24">
        <v>988.35820557941099</v>
      </c>
    </row>
    <row r="24" spans="1:119" x14ac:dyDescent="0.3">
      <c r="A24" s="24" t="s">
        <v>389</v>
      </c>
      <c r="B24" s="24" t="s">
        <v>428</v>
      </c>
      <c r="C24" s="24" t="s">
        <v>429</v>
      </c>
      <c r="D24" s="24">
        <v>6.0000000000000001E-3</v>
      </c>
      <c r="E24" s="24">
        <v>7.7033799999999994E-5</v>
      </c>
      <c r="F24" s="24">
        <v>2.35068E-3</v>
      </c>
      <c r="G24" s="24">
        <v>8.75</v>
      </c>
      <c r="H24" s="24">
        <v>7.4999999999999997E-2</v>
      </c>
      <c r="I24" s="24">
        <v>2.7153200000000002</v>
      </c>
      <c r="J24" s="24">
        <v>293.14999999999998</v>
      </c>
      <c r="K24" s="24">
        <v>413.834</v>
      </c>
      <c r="L24" s="24">
        <v>80</v>
      </c>
      <c r="M24" s="24">
        <v>0.3</v>
      </c>
      <c r="N24" s="24">
        <v>0.11664265172555741</v>
      </c>
      <c r="O24" s="24">
        <v>2.7438444717066201E-2</v>
      </c>
      <c r="P24" s="24">
        <v>22.230687813903899</v>
      </c>
      <c r="Q24" s="24">
        <v>40.449401417341043</v>
      </c>
      <c r="R24" s="24">
        <v>51.252571089722473</v>
      </c>
      <c r="S24" s="24">
        <v>78.047368138441101</v>
      </c>
      <c r="T24" s="24">
        <v>59.389646805445302</v>
      </c>
      <c r="U24" s="24">
        <v>2.514759654027765</v>
      </c>
      <c r="V24" s="24">
        <v>365.74674003729461</v>
      </c>
      <c r="W24" s="24">
        <v>7.1476048797352059</v>
      </c>
      <c r="X24" s="24">
        <v>5.7599693206764693</v>
      </c>
      <c r="Y24" s="24">
        <v>6.9895407189308081</v>
      </c>
      <c r="Z24" s="24">
        <v>8.5522983527961234</v>
      </c>
      <c r="AA24" s="24">
        <v>5.8573089135230004E-4</v>
      </c>
      <c r="AB24" s="24">
        <v>1.089051322456094</v>
      </c>
      <c r="AC24" s="24">
        <v>5.4998256616552386</v>
      </c>
      <c r="AD24" s="24">
        <v>5.8828976667079944</v>
      </c>
      <c r="AE24" s="24">
        <v>4</v>
      </c>
      <c r="AF24" s="24">
        <v>0.1694164167645632</v>
      </c>
      <c r="AG24" s="24">
        <v>2.67056823288544E-2</v>
      </c>
      <c r="AH24" s="24">
        <v>79.285200508839594</v>
      </c>
      <c r="AI24" s="24">
        <v>61.830810353041521</v>
      </c>
      <c r="AJ24" s="24">
        <v>0.87682750877605686</v>
      </c>
      <c r="AK24" s="24">
        <v>1.848783242554253</v>
      </c>
      <c r="AL24" s="24">
        <v>5.7518356567155298</v>
      </c>
      <c r="AM24" s="24">
        <v>44.619600336328404</v>
      </c>
      <c r="AN24" s="24">
        <v>55.394138607363999</v>
      </c>
      <c r="AO24" s="24">
        <v>82.694358130255651</v>
      </c>
      <c r="AP24" s="24">
        <v>44.619600336328404</v>
      </c>
      <c r="AQ24" s="24">
        <v>44.501340564501469</v>
      </c>
      <c r="AR24" s="24">
        <v>0.61392302484295092</v>
      </c>
      <c r="AS24" s="24">
        <v>10.265136074327179</v>
      </c>
      <c r="AT24" s="24">
        <v>98.765262769965958</v>
      </c>
      <c r="AU24" s="24">
        <v>2.7092942942492209</v>
      </c>
      <c r="AV24" s="24">
        <v>9.1527897256461248</v>
      </c>
      <c r="AW24" s="24">
        <v>12.161854502947939</v>
      </c>
      <c r="AX24" s="24">
        <v>5.7286134338444397</v>
      </c>
      <c r="AY24" s="24">
        <v>5.1401103566255797</v>
      </c>
      <c r="AZ24" s="24">
        <v>8.4148606872823812</v>
      </c>
      <c r="BA24" s="24">
        <v>90.95695922147344</v>
      </c>
      <c r="BB24" s="24">
        <v>121.6642293844119</v>
      </c>
      <c r="BC24" s="24">
        <v>6.2953623979223643</v>
      </c>
      <c r="BD24" s="24">
        <v>11.6763305107352</v>
      </c>
      <c r="BE24" s="24">
        <v>30.85873177652676</v>
      </c>
      <c r="BF24" s="24">
        <v>43.122801917919567</v>
      </c>
      <c r="BG24" s="24">
        <v>51.379998585310133</v>
      </c>
      <c r="BH24" s="24">
        <v>87.246512366585065</v>
      </c>
      <c r="BI24" s="24">
        <v>62.28622269411013</v>
      </c>
      <c r="BJ24" s="24">
        <v>2.6066328360977602</v>
      </c>
      <c r="BK24" s="24">
        <v>7.2109872068412724</v>
      </c>
      <c r="BL24" s="24">
        <v>5.7981821814942727</v>
      </c>
      <c r="BM24" s="24">
        <v>7.0414068110194341</v>
      </c>
      <c r="BN24" s="24">
        <v>8.6632805160817359</v>
      </c>
      <c r="BO24" s="24">
        <v>1.097465592499645</v>
      </c>
      <c r="BP24" s="24">
        <v>6.2953623979223643</v>
      </c>
      <c r="BQ24" s="24">
        <v>41.690060396776722</v>
      </c>
      <c r="BR24" s="24">
        <v>63.028476777720698</v>
      </c>
      <c r="BS24" s="24">
        <v>68.487411052566259</v>
      </c>
      <c r="BT24" s="24">
        <v>96.690721275514036</v>
      </c>
      <c r="BU24" s="24">
        <v>76.098724066222303</v>
      </c>
      <c r="BV24" s="24">
        <v>3.9075719593252098</v>
      </c>
      <c r="BW24" s="24">
        <v>356.27132832957818</v>
      </c>
      <c r="BX24" s="24">
        <v>7.5138572706209708</v>
      </c>
      <c r="BY24" s="24">
        <v>5.9625784944628419</v>
      </c>
      <c r="BZ24" s="24">
        <v>7.2332600915778604</v>
      </c>
      <c r="CA24" s="24">
        <v>8.908334168638774</v>
      </c>
      <c r="CB24" s="24">
        <v>1.194731400958E-4</v>
      </c>
      <c r="CC24" s="24">
        <v>0.80307694557942311</v>
      </c>
      <c r="CD24" s="24">
        <v>3.4212243145503241</v>
      </c>
      <c r="CE24" s="24">
        <v>8.2663095870453116</v>
      </c>
      <c r="CF24" s="24">
        <v>346.98213776308882</v>
      </c>
      <c r="CG24" s="24">
        <v>348.41003323611392</v>
      </c>
      <c r="CH24" s="24">
        <v>351.63339406389679</v>
      </c>
      <c r="CI24" s="24">
        <v>347.93827312192411</v>
      </c>
      <c r="CJ24" s="24">
        <v>348.33203302634217</v>
      </c>
      <c r="CK24" s="24">
        <v>348.41003323611392</v>
      </c>
      <c r="CL24" s="24">
        <v>348.72814831119291</v>
      </c>
      <c r="CM24" s="24">
        <v>349.42725913350642</v>
      </c>
      <c r="CN24" s="24">
        <v>350.1740738626724</v>
      </c>
      <c r="CO24" s="24">
        <v>351.02064557737373</v>
      </c>
      <c r="CP24" s="24">
        <v>351.40243241072238</v>
      </c>
      <c r="CQ24" s="24">
        <v>352.03880700768718</v>
      </c>
      <c r="CR24" s="24">
        <v>353.36395154461911</v>
      </c>
      <c r="CS24" s="24">
        <v>355.36694624015479</v>
      </c>
      <c r="CT24" s="24">
        <v>356.60930315876777</v>
      </c>
      <c r="CU24" s="24">
        <v>359.71061480030011</v>
      </c>
      <c r="CV24" s="24">
        <v>374.06944993579418</v>
      </c>
      <c r="CW24" s="24">
        <v>404.26689654189039</v>
      </c>
      <c r="CX24" s="24">
        <v>409.65407987545848</v>
      </c>
      <c r="CY24" s="24">
        <v>6.416589355691996</v>
      </c>
      <c r="CZ24" s="24">
        <v>6.5046536822903516</v>
      </c>
      <c r="DA24" s="24">
        <v>6.5286051371218567</v>
      </c>
      <c r="DB24" s="24">
        <v>6.6546351664622208</v>
      </c>
      <c r="DC24" s="24">
        <v>6.9671495989238119</v>
      </c>
      <c r="DD24" s="24">
        <v>7.3992639011507224</v>
      </c>
      <c r="DE24" s="24">
        <v>8.0318327557071498</v>
      </c>
      <c r="DF24" s="24">
        <v>8.3742151683247741</v>
      </c>
      <c r="DG24" s="24">
        <v>9.0316557716232353</v>
      </c>
      <c r="DH24" s="24">
        <v>10.805133025589839</v>
      </c>
      <c r="DI24" s="24">
        <v>14.52143620381435</v>
      </c>
      <c r="DJ24" s="24">
        <v>17.271090561734809</v>
      </c>
      <c r="DK24" s="24">
        <v>24.14121056083496</v>
      </c>
      <c r="DL24" s="24">
        <v>42.662719216784211</v>
      </c>
      <c r="DM24" s="24">
        <v>61.742603522403542</v>
      </c>
      <c r="DN24" s="24">
        <v>66.158988316054788</v>
      </c>
      <c r="DO24" s="24">
        <v>939.54631993461157</v>
      </c>
    </row>
    <row r="25" spans="1:119" x14ac:dyDescent="0.3">
      <c r="A25" s="24" t="s">
        <v>398</v>
      </c>
      <c r="B25" s="24" t="s">
        <v>428</v>
      </c>
      <c r="C25" s="24" t="s">
        <v>429</v>
      </c>
      <c r="D25" s="24">
        <v>6.0000000000000001E-3</v>
      </c>
      <c r="E25" s="24">
        <v>5.7410600000000002E-5</v>
      </c>
      <c r="F25" s="24">
        <v>1.8866899999999999E-3</v>
      </c>
      <c r="G25" s="24">
        <v>8.75</v>
      </c>
      <c r="H25" s="24">
        <v>7.4999999999999997E-2</v>
      </c>
      <c r="I25" s="24">
        <v>3.0151699999999999</v>
      </c>
      <c r="J25" s="24">
        <v>293.14999999999998</v>
      </c>
      <c r="K25" s="24">
        <v>419.61700000000002</v>
      </c>
      <c r="L25" s="24">
        <v>80</v>
      </c>
      <c r="M25" s="24">
        <v>0.3</v>
      </c>
      <c r="N25" s="24">
        <v>5.8875917693005902E-2</v>
      </c>
      <c r="O25" s="24">
        <v>2.3465250805591999E-2</v>
      </c>
      <c r="P25" s="24">
        <v>25.624975198706441</v>
      </c>
      <c r="Q25" s="24">
        <v>32.662363143079858</v>
      </c>
      <c r="R25" s="24">
        <v>37.120537433818527</v>
      </c>
      <c r="S25" s="24">
        <v>58.289565905685663</v>
      </c>
      <c r="T25" s="24">
        <v>45.422249353500341</v>
      </c>
      <c r="U25" s="24">
        <v>2.788061695855367</v>
      </c>
      <c r="V25" s="24">
        <v>380.15440986970498</v>
      </c>
      <c r="W25" s="24">
        <v>7.6974453553804807</v>
      </c>
      <c r="X25" s="24">
        <v>6.3989182589894247</v>
      </c>
      <c r="Y25" s="24">
        <v>7.4292921864664097</v>
      </c>
      <c r="Z25" s="24">
        <v>9.0217376263333176</v>
      </c>
      <c r="AA25" s="24">
        <v>5.1368226915590005E-4</v>
      </c>
      <c r="AB25" s="24">
        <v>0.87996006968423535</v>
      </c>
      <c r="AC25" s="24">
        <v>7.4154078823703671</v>
      </c>
      <c r="AD25" s="24">
        <v>2.9044246718915758</v>
      </c>
      <c r="AE25" s="24">
        <v>3.3</v>
      </c>
      <c r="AF25" s="24">
        <v>9.2445365401689295E-2</v>
      </c>
      <c r="AG25" s="24">
        <v>2.2927256970495101E-2</v>
      </c>
      <c r="AH25" s="24">
        <v>18.13547139049264</v>
      </c>
      <c r="AI25" s="24">
        <v>6.4402411755143358</v>
      </c>
      <c r="AJ25" s="24">
        <v>1.7450164002494439</v>
      </c>
      <c r="AK25" s="24">
        <v>3.4178650038181768</v>
      </c>
      <c r="AL25" s="24">
        <v>4.6899469878165077</v>
      </c>
      <c r="AM25" s="24">
        <v>35.05559938847145</v>
      </c>
      <c r="AN25" s="24">
        <v>46.9920378769758</v>
      </c>
      <c r="AO25" s="24">
        <v>90.646023145658816</v>
      </c>
      <c r="AP25" s="24">
        <v>35.05559938847145</v>
      </c>
      <c r="AQ25" s="24">
        <v>52.871256583300742</v>
      </c>
      <c r="AR25" s="24">
        <v>0.57616632718558625</v>
      </c>
      <c r="AS25" s="24">
        <v>11.496977701042219</v>
      </c>
      <c r="AT25" s="24">
        <v>99.99999999885118</v>
      </c>
      <c r="AU25" s="24">
        <v>2.101110471588072</v>
      </c>
      <c r="AV25" s="24">
        <v>9.5913779642147112</v>
      </c>
      <c r="AW25" s="24">
        <v>16.433672164355599</v>
      </c>
      <c r="AX25" s="24">
        <v>7.3623349604743762</v>
      </c>
      <c r="AY25" s="24">
        <v>7.3511235380414179</v>
      </c>
      <c r="AZ25" s="24">
        <v>9.9501040129677456</v>
      </c>
      <c r="BA25" s="24">
        <v>106.3781891755911</v>
      </c>
      <c r="BB25" s="24">
        <v>131.8379793715682</v>
      </c>
      <c r="BC25" s="24">
        <v>3.0215104082599078</v>
      </c>
      <c r="BD25" s="24">
        <v>5.2043595731049788</v>
      </c>
      <c r="BE25" s="24">
        <v>25.674925824523591</v>
      </c>
      <c r="BF25" s="24">
        <v>33.735987145920888</v>
      </c>
      <c r="BG25" s="24">
        <v>37.16381111929585</v>
      </c>
      <c r="BH25" s="24">
        <v>58.322937635640763</v>
      </c>
      <c r="BI25" s="24">
        <v>46.607812322708369</v>
      </c>
      <c r="BJ25" s="24">
        <v>2.8133876676878931</v>
      </c>
      <c r="BK25" s="24">
        <v>7.7724218772536959</v>
      </c>
      <c r="BL25" s="24">
        <v>6.4541522214511833</v>
      </c>
      <c r="BM25" s="24">
        <v>7.4760013508089349</v>
      </c>
      <c r="BN25" s="24">
        <v>9.2681924523754287</v>
      </c>
      <c r="BO25" s="24">
        <v>0.87848933755251957</v>
      </c>
      <c r="BP25" s="24">
        <v>3.0215104082599078</v>
      </c>
      <c r="BQ25" s="24">
        <v>36.374464294243722</v>
      </c>
      <c r="BR25" s="24">
        <v>49.505086923817643</v>
      </c>
      <c r="BS25" s="24">
        <v>56.325760749366772</v>
      </c>
      <c r="BT25" s="24">
        <v>68.787457781255412</v>
      </c>
      <c r="BU25" s="24">
        <v>57.725148603719568</v>
      </c>
      <c r="BV25" s="24">
        <v>4.4182060215054433</v>
      </c>
      <c r="BW25" s="24">
        <v>373.4597098093418</v>
      </c>
      <c r="BX25" s="24">
        <v>8.498992366248034</v>
      </c>
      <c r="BY25" s="24">
        <v>7.0285118521847503</v>
      </c>
      <c r="BZ25" s="24">
        <v>8.1905273857772443</v>
      </c>
      <c r="CA25" s="24">
        <v>10.1409769233259</v>
      </c>
      <c r="CB25" s="24">
        <v>5.2324723231139591E-5</v>
      </c>
      <c r="CC25" s="24">
        <v>0.57545593802523265</v>
      </c>
      <c r="CD25" s="24">
        <v>6.72816709345269</v>
      </c>
      <c r="CE25" s="24">
        <v>4.1561461395793264</v>
      </c>
      <c r="CF25" s="24">
        <v>360.18757945812501</v>
      </c>
      <c r="CG25" s="24">
        <v>361.94675458235662</v>
      </c>
      <c r="CH25" s="24">
        <v>365.84980612755459</v>
      </c>
      <c r="CI25" s="24">
        <v>361.38180328769192</v>
      </c>
      <c r="CJ25" s="24">
        <v>361.85463497377782</v>
      </c>
      <c r="CK25" s="24">
        <v>361.94675458235662</v>
      </c>
      <c r="CL25" s="24">
        <v>362.31443116296123</v>
      </c>
      <c r="CM25" s="24">
        <v>363.1172390978856</v>
      </c>
      <c r="CN25" s="24">
        <v>363.95865795244981</v>
      </c>
      <c r="CO25" s="24">
        <v>364.88185044074731</v>
      </c>
      <c r="CP25" s="24">
        <v>365.28040476224737</v>
      </c>
      <c r="CQ25" s="24">
        <v>365.91906307181853</v>
      </c>
      <c r="CR25" s="24">
        <v>367.11613497207821</v>
      </c>
      <c r="CS25" s="24">
        <v>368.52803506746238</v>
      </c>
      <c r="CT25" s="24">
        <v>369.2007457528648</v>
      </c>
      <c r="CU25" s="24">
        <v>370.57396641162228</v>
      </c>
      <c r="CV25" s="24">
        <v>379.02283152968079</v>
      </c>
      <c r="CW25" s="24">
        <v>409.38572258061311</v>
      </c>
      <c r="CX25" s="24">
        <v>415.06745886986818</v>
      </c>
      <c r="CY25" s="24">
        <v>3.0652874693203409</v>
      </c>
      <c r="CZ25" s="24">
        <v>3.101042073620075</v>
      </c>
      <c r="DA25" s="24">
        <v>3.1107896506940338</v>
      </c>
      <c r="DB25" s="24">
        <v>3.1624024784479521</v>
      </c>
      <c r="DC25" s="24">
        <v>3.2892319912948271</v>
      </c>
      <c r="DD25" s="24">
        <v>3.4647505110800219</v>
      </c>
      <c r="DE25" s="24">
        <v>3.7174278090756978</v>
      </c>
      <c r="DF25" s="24">
        <v>3.8536991178213502</v>
      </c>
      <c r="DG25" s="24">
        <v>4.1146056881945396</v>
      </c>
      <c r="DH25" s="24">
        <v>4.8040380845230564</v>
      </c>
      <c r="DI25" s="24">
        <v>6.2366460339630274</v>
      </c>
      <c r="DJ25" s="24">
        <v>7.3536539457754726</v>
      </c>
      <c r="DK25" s="24">
        <v>10.631601668709481</v>
      </c>
      <c r="DL25" s="24">
        <v>26.643494980419849</v>
      </c>
      <c r="DM25" s="24">
        <v>56.270618524252363</v>
      </c>
      <c r="DN25" s="24">
        <v>63.703246073039331</v>
      </c>
      <c r="DO25" s="24">
        <v>1102.7185857684431</v>
      </c>
    </row>
    <row r="26" spans="1:119" x14ac:dyDescent="0.3">
      <c r="A26" s="24" t="s">
        <v>383</v>
      </c>
      <c r="B26" s="24" t="s">
        <v>428</v>
      </c>
      <c r="C26" s="24" t="s">
        <v>429</v>
      </c>
      <c r="D26" s="24">
        <v>6.0000000000000001E-3</v>
      </c>
      <c r="E26" s="24">
        <v>8.0000000000000007E-5</v>
      </c>
      <c r="F26" s="24">
        <v>3.0243499999999999E-3</v>
      </c>
      <c r="G26" s="24">
        <v>8.75</v>
      </c>
      <c r="H26" s="24">
        <v>7.4999999999999997E-2</v>
      </c>
      <c r="I26" s="24">
        <v>2.67</v>
      </c>
      <c r="J26" s="24">
        <v>293.14999999999998</v>
      </c>
      <c r="K26" s="24">
        <v>410.35599999999999</v>
      </c>
      <c r="L26" s="24">
        <v>80</v>
      </c>
      <c r="M26" s="24">
        <v>0.3</v>
      </c>
      <c r="N26" s="24">
        <v>0.26593306629551527</v>
      </c>
      <c r="O26" s="24">
        <v>3.30973958961122E-2</v>
      </c>
      <c r="P26" s="24">
        <v>30.08200241536024</v>
      </c>
      <c r="Q26" s="24">
        <v>41.388128366730221</v>
      </c>
      <c r="R26" s="24">
        <v>50.296463368026913</v>
      </c>
      <c r="S26" s="24">
        <v>85.811919319006165</v>
      </c>
      <c r="T26" s="24">
        <v>61.43838744997219</v>
      </c>
      <c r="U26" s="24">
        <v>2.490228744066608</v>
      </c>
      <c r="V26" s="24">
        <v>352.62701128289763</v>
      </c>
      <c r="W26" s="24">
        <v>7.0647191968972969</v>
      </c>
      <c r="X26" s="24">
        <v>5.6018186446514013</v>
      </c>
      <c r="Y26" s="24">
        <v>6.9493190860709104</v>
      </c>
      <c r="Z26" s="24">
        <v>8.4467998579428976</v>
      </c>
      <c r="AA26" s="24">
        <v>7.4389739531659997E-4</v>
      </c>
      <c r="AB26" s="24">
        <v>1.1080285406125201</v>
      </c>
      <c r="AC26" s="24">
        <v>0.83090520836173232</v>
      </c>
      <c r="AD26" s="24">
        <v>9.2345443935905962</v>
      </c>
      <c r="AE26" s="24">
        <v>4.5</v>
      </c>
      <c r="AF26" s="24">
        <v>0.18010217788592039</v>
      </c>
      <c r="AG26" s="24">
        <v>3.2037052873803297E-2</v>
      </c>
      <c r="AH26" s="24">
        <v>94.159092556413199</v>
      </c>
      <c r="AI26" s="24">
        <v>91.327774757961635</v>
      </c>
      <c r="AJ26" s="24">
        <v>0.3638308558144065</v>
      </c>
      <c r="AK26" s="24">
        <v>0.97033268642383597</v>
      </c>
      <c r="AL26" s="24">
        <v>7.2578779487413199</v>
      </c>
      <c r="AM26" s="24">
        <v>57.352424616207173</v>
      </c>
      <c r="AN26" s="24">
        <v>66.495833882668478</v>
      </c>
      <c r="AO26" s="24">
        <v>81.321922102314304</v>
      </c>
      <c r="AP26" s="24">
        <v>57.352424616207173</v>
      </c>
      <c r="AQ26" s="24">
        <v>33.473611817023389</v>
      </c>
      <c r="AR26" s="24">
        <v>0.65153184702496525</v>
      </c>
      <c r="AS26" s="24">
        <v>8.5224317197444694</v>
      </c>
      <c r="AT26" s="24">
        <v>54.357482736170802</v>
      </c>
      <c r="AU26" s="24">
        <v>3.6281673505714931</v>
      </c>
      <c r="AV26" s="24">
        <v>8.8890148866799201</v>
      </c>
      <c r="AW26" s="24">
        <v>8.8200048399110216</v>
      </c>
      <c r="AX26" s="24">
        <v>4.4090647180967428</v>
      </c>
      <c r="AY26" s="24">
        <v>0.72293024400470751</v>
      </c>
      <c r="AZ26" s="24">
        <v>2.4982522651462422</v>
      </c>
      <c r="BA26" s="24">
        <v>77.20487436434702</v>
      </c>
      <c r="BB26" s="24">
        <v>114.60087242098319</v>
      </c>
      <c r="BC26" s="24">
        <v>9.9738880709152724</v>
      </c>
      <c r="BD26" s="24">
        <v>18.459535725342199</v>
      </c>
      <c r="BE26" s="24">
        <v>30.158736117641361</v>
      </c>
      <c r="BF26" s="24">
        <v>44.487586083275147</v>
      </c>
      <c r="BG26" s="24">
        <v>57.971594930681839</v>
      </c>
      <c r="BH26" s="24">
        <v>85.891866016790757</v>
      </c>
      <c r="BI26" s="24">
        <v>64.97112641083892</v>
      </c>
      <c r="BJ26" s="24">
        <v>2.5958443835196858</v>
      </c>
      <c r="BK26" s="24">
        <v>7.0993486687840077</v>
      </c>
      <c r="BL26" s="24">
        <v>5.605373881224363</v>
      </c>
      <c r="BM26" s="24">
        <v>6.9752236373364234</v>
      </c>
      <c r="BN26" s="24">
        <v>8.5205410333291542</v>
      </c>
      <c r="BO26" s="24">
        <v>0.96138686482217683</v>
      </c>
      <c r="BP26" s="24">
        <v>9.9738880709152724</v>
      </c>
      <c r="BQ26" s="24">
        <v>48.676420095727373</v>
      </c>
      <c r="BR26" s="24">
        <v>66.01030402466553</v>
      </c>
      <c r="BS26" s="24">
        <v>67.333265314151049</v>
      </c>
      <c r="BT26" s="24">
        <v>95.210777925170916</v>
      </c>
      <c r="BU26" s="24">
        <v>80.348201078308904</v>
      </c>
      <c r="BV26" s="24">
        <v>3.8355233572789169</v>
      </c>
      <c r="BW26" s="24">
        <v>340.46228570997249</v>
      </c>
      <c r="BX26" s="24">
        <v>7.2501208858526756</v>
      </c>
      <c r="BY26" s="24">
        <v>5.6479104781605063</v>
      </c>
      <c r="BZ26" s="24">
        <v>7.0904114223824246</v>
      </c>
      <c r="CA26" s="24">
        <v>8.8610107044427551</v>
      </c>
      <c r="CB26" s="24">
        <v>1.6340760690730001E-4</v>
      </c>
      <c r="CC26" s="24">
        <v>0.6911050223441888</v>
      </c>
      <c r="CD26" s="24">
        <v>0.25282129122375152</v>
      </c>
      <c r="CE26" s="24">
        <v>13.19289429112626</v>
      </c>
      <c r="CF26" s="24">
        <v>332.41889293947958</v>
      </c>
      <c r="CG26" s="24">
        <v>333.51880300017478</v>
      </c>
      <c r="CH26" s="24">
        <v>335.9682297164793</v>
      </c>
      <c r="CI26" s="24">
        <v>333.14384945792449</v>
      </c>
      <c r="CJ26" s="24">
        <v>333.45420551041963</v>
      </c>
      <c r="CK26" s="24">
        <v>333.51880300017478</v>
      </c>
      <c r="CL26" s="24">
        <v>333.78564031008011</v>
      </c>
      <c r="CM26" s="24">
        <v>334.388378219142</v>
      </c>
      <c r="CN26" s="24">
        <v>335.0638103175271</v>
      </c>
      <c r="CO26" s="24">
        <v>335.88098458131259</v>
      </c>
      <c r="CP26" s="24">
        <v>336.26822577598273</v>
      </c>
      <c r="CQ26" s="24">
        <v>336.94461173920541</v>
      </c>
      <c r="CR26" s="24">
        <v>338.4852776230947</v>
      </c>
      <c r="CS26" s="24">
        <v>341.13730009852281</v>
      </c>
      <c r="CT26" s="24">
        <v>342.85702918789099</v>
      </c>
      <c r="CU26" s="24">
        <v>346.95979545738311</v>
      </c>
      <c r="CV26" s="24">
        <v>363.99803398325253</v>
      </c>
      <c r="CW26" s="24">
        <v>400.31314311238901</v>
      </c>
      <c r="CX26" s="24">
        <v>406.02916977343989</v>
      </c>
      <c r="CY26" s="24">
        <v>10.15894265283141</v>
      </c>
      <c r="CZ26" s="24">
        <v>10.2874682713156</v>
      </c>
      <c r="DA26" s="24">
        <v>10.3223294678101</v>
      </c>
      <c r="DB26" s="24">
        <v>10.505976539608801</v>
      </c>
      <c r="DC26" s="24">
        <v>10.959092470587461</v>
      </c>
      <c r="DD26" s="24">
        <v>11.58018757784042</v>
      </c>
      <c r="DE26" s="24">
        <v>12.48184564947082</v>
      </c>
      <c r="DF26" s="24">
        <v>12.96357620130744</v>
      </c>
      <c r="DG26" s="24">
        <v>13.87879215296887</v>
      </c>
      <c r="DH26" s="24">
        <v>16.24979025690164</v>
      </c>
      <c r="DI26" s="24">
        <v>20.770589980229161</v>
      </c>
      <c r="DJ26" s="24">
        <v>23.782646973039519</v>
      </c>
      <c r="DK26" s="24">
        <v>30.537628692113149</v>
      </c>
      <c r="DL26" s="24">
        <v>46.919628898343163</v>
      </c>
      <c r="DM26" s="24">
        <v>62.991097247737713</v>
      </c>
      <c r="DN26" s="24">
        <v>66.726233969766952</v>
      </c>
      <c r="DO26" s="24">
        <v>757.56022427521737</v>
      </c>
    </row>
    <row r="27" spans="1:119" x14ac:dyDescent="0.3">
      <c r="A27" s="24" t="s">
        <v>435</v>
      </c>
      <c r="B27" s="24" t="s">
        <v>431</v>
      </c>
      <c r="C27" s="24" t="s">
        <v>429</v>
      </c>
      <c r="D27" s="24">
        <v>6.0000000000000001E-3</v>
      </c>
      <c r="E27" s="24">
        <v>8.0000000000000007E-5</v>
      </c>
      <c r="F27" s="24">
        <v>3.0243499999999999E-3</v>
      </c>
      <c r="G27" s="24">
        <v>8.75</v>
      </c>
      <c r="H27" s="24">
        <v>7.4999999999999997E-2</v>
      </c>
      <c r="I27" s="24">
        <v>2.67</v>
      </c>
      <c r="J27" s="24">
        <v>293.14999999999998</v>
      </c>
      <c r="K27" s="24">
        <v>410.35599999999999</v>
      </c>
      <c r="L27" s="24">
        <v>80</v>
      </c>
      <c r="M27" s="24">
        <v>0.3</v>
      </c>
      <c r="N27" s="24">
        <v>0.26260241500869602</v>
      </c>
      <c r="O27" s="24">
        <v>3.3054285062204501E-2</v>
      </c>
      <c r="P27" s="24">
        <v>21.649481749697919</v>
      </c>
      <c r="Q27" s="24">
        <v>40.797492726760602</v>
      </c>
      <c r="R27" s="24">
        <v>50.255424316781273</v>
      </c>
      <c r="S27" s="24">
        <v>85.763533410910014</v>
      </c>
      <c r="T27" s="24">
        <v>60.919886101014463</v>
      </c>
      <c r="U27" s="24">
        <v>2.4619588175179921</v>
      </c>
      <c r="V27" s="24">
        <v>353.74835285443999</v>
      </c>
      <c r="W27" s="24">
        <v>7.6234143347503203</v>
      </c>
      <c r="X27" s="24">
        <v>5.8221650674345113</v>
      </c>
      <c r="Y27" s="24">
        <v>7.2432869150512351</v>
      </c>
      <c r="Z27" s="24">
        <v>9.5027801954804243</v>
      </c>
      <c r="AA27" s="24">
        <v>7.0405143845739997E-4</v>
      </c>
      <c r="AB27" s="24">
        <v>1.275763811227103</v>
      </c>
      <c r="AC27" s="24">
        <v>1.121868943277694</v>
      </c>
      <c r="AD27" s="24">
        <v>8.853710317861939</v>
      </c>
      <c r="AE27" s="24">
        <v>4.5</v>
      </c>
      <c r="AF27" s="24">
        <v>0.22324045362645439</v>
      </c>
      <c r="AG27" s="24">
        <v>3.1996658394591697E-2</v>
      </c>
      <c r="AH27" s="24">
        <v>91.413883911079694</v>
      </c>
      <c r="AI27" s="24">
        <v>88.287007351859117</v>
      </c>
      <c r="AJ27" s="24">
        <v>0.39373233419024428</v>
      </c>
      <c r="AK27" s="24">
        <v>1.1511643536545439</v>
      </c>
      <c r="AL27" s="24">
        <v>7.2608988734817403</v>
      </c>
      <c r="AM27" s="24">
        <v>57.386717429227382</v>
      </c>
      <c r="AN27" s="24">
        <v>66.287396706025802</v>
      </c>
      <c r="AO27" s="24">
        <v>76.909529611352255</v>
      </c>
      <c r="AP27" s="24">
        <v>57.386717429227382</v>
      </c>
      <c r="AQ27" s="24">
        <v>33.496956612235003</v>
      </c>
      <c r="AR27" s="24">
        <v>0.67314371595109923</v>
      </c>
      <c r="AS27" s="24">
        <v>8.4431822425865235</v>
      </c>
      <c r="AT27" s="24">
        <v>55.252828166782407</v>
      </c>
      <c r="AU27" s="24">
        <v>3.619288933053741</v>
      </c>
      <c r="AV27" s="24">
        <v>8.8890148866799201</v>
      </c>
      <c r="AW27" s="24">
        <v>8.8416410471676912</v>
      </c>
      <c r="AX27" s="24">
        <v>4.4072303098614674</v>
      </c>
      <c r="AY27" s="24">
        <v>0.9764311161524204</v>
      </c>
      <c r="AZ27" s="24">
        <v>3.9648725304097878</v>
      </c>
      <c r="BA27" s="24">
        <v>77.904008770430096</v>
      </c>
      <c r="BB27" s="24">
        <v>117.4963514126645</v>
      </c>
      <c r="BC27" s="24">
        <v>9.7530465122580914</v>
      </c>
      <c r="BD27" s="24">
        <v>18.119958333173141</v>
      </c>
      <c r="BE27" s="24">
        <v>30.179216951267328</v>
      </c>
      <c r="BF27" s="24">
        <v>44.556726583455252</v>
      </c>
      <c r="BG27" s="24">
        <v>57.986868336510952</v>
      </c>
      <c r="BH27" s="24">
        <v>85.896397610704824</v>
      </c>
      <c r="BI27" s="24">
        <v>65.020717425718843</v>
      </c>
      <c r="BJ27" s="24">
        <v>2.6047081049767669</v>
      </c>
      <c r="BK27" s="24">
        <v>7.4800178839855898</v>
      </c>
      <c r="BL27" s="24">
        <v>5.7156141370669911</v>
      </c>
      <c r="BM27" s="24">
        <v>7.1499270908280153</v>
      </c>
      <c r="BN27" s="24">
        <v>9.2930640231067976</v>
      </c>
      <c r="BO27" s="24">
        <v>0.96085859191598444</v>
      </c>
      <c r="BP27" s="24">
        <v>9.7530465122580914</v>
      </c>
      <c r="BQ27" s="24">
        <v>48.616632717168102</v>
      </c>
      <c r="BR27" s="24">
        <v>64.287216347765309</v>
      </c>
      <c r="BS27" s="24">
        <v>67.320523319158667</v>
      </c>
      <c r="BT27" s="24">
        <v>95.192690199073738</v>
      </c>
      <c r="BU27" s="24">
        <v>78.723693908592494</v>
      </c>
      <c r="BV27" s="24">
        <v>3.7005950193867969</v>
      </c>
      <c r="BW27" s="24">
        <v>342.07971190144082</v>
      </c>
      <c r="BX27" s="24">
        <v>7.0023942846987204</v>
      </c>
      <c r="BY27" s="24">
        <v>5.4360776804552282</v>
      </c>
      <c r="BZ27" s="24">
        <v>6.7385348193868646</v>
      </c>
      <c r="CA27" s="24">
        <v>8.5353242451986162</v>
      </c>
      <c r="CB27" s="24">
        <v>2.0234416587650001E-4</v>
      </c>
      <c r="CC27" s="24">
        <v>0.69185524986331493</v>
      </c>
      <c r="CD27" s="24">
        <v>0.49200811897513907</v>
      </c>
      <c r="CE27" s="24">
        <v>12.74854736214451</v>
      </c>
      <c r="CF27" s="24">
        <v>332.66319381673537</v>
      </c>
      <c r="CG27" s="24">
        <v>333.91875638084622</v>
      </c>
      <c r="CH27" s="24">
        <v>336.44328003343247</v>
      </c>
      <c r="CI27" s="24">
        <v>333.52065107304321</v>
      </c>
      <c r="CJ27" s="24">
        <v>333.84784401280552</v>
      </c>
      <c r="CK27" s="24">
        <v>333.91875638084622</v>
      </c>
      <c r="CL27" s="24">
        <v>334.20715940591828</v>
      </c>
      <c r="CM27" s="24">
        <v>334.83848698899789</v>
      </c>
      <c r="CN27" s="24">
        <v>335.52560046972462</v>
      </c>
      <c r="CO27" s="24">
        <v>336.30937198060252</v>
      </c>
      <c r="CP27" s="24">
        <v>336.66518558740461</v>
      </c>
      <c r="CQ27" s="24">
        <v>337.29009235217637</v>
      </c>
      <c r="CR27" s="24">
        <v>338.67138838147793</v>
      </c>
      <c r="CS27" s="24">
        <v>341.05597591231788</v>
      </c>
      <c r="CT27" s="24">
        <v>342.65025025496192</v>
      </c>
      <c r="CU27" s="24">
        <v>346.56271259593382</v>
      </c>
      <c r="CV27" s="24">
        <v>361.96780232310368</v>
      </c>
      <c r="CW27" s="24">
        <v>398.56561976682798</v>
      </c>
      <c r="CX27" s="24">
        <v>405.8568349071279</v>
      </c>
      <c r="CY27" s="24">
        <v>9.95346227899452</v>
      </c>
      <c r="CZ27" s="24">
        <v>10.08284966580848</v>
      </c>
      <c r="DA27" s="24">
        <v>10.11807435490786</v>
      </c>
      <c r="DB27" s="24">
        <v>10.300965146553461</v>
      </c>
      <c r="DC27" s="24">
        <v>10.745991748338531</v>
      </c>
      <c r="DD27" s="24">
        <v>11.34622190021004</v>
      </c>
      <c r="DE27" s="24">
        <v>12.196492921058059</v>
      </c>
      <c r="DF27" s="24">
        <v>12.645905923717629</v>
      </c>
      <c r="DG27" s="24">
        <v>13.49888626001181</v>
      </c>
      <c r="DH27" s="24">
        <v>15.73167886026261</v>
      </c>
      <c r="DI27" s="24">
        <v>20.081286466712811</v>
      </c>
      <c r="DJ27" s="24">
        <v>23.025968461946459</v>
      </c>
      <c r="DK27" s="24">
        <v>29.780302265132139</v>
      </c>
      <c r="DL27" s="24">
        <v>44.789007762240573</v>
      </c>
      <c r="DM27" s="24">
        <v>63.230127078792279</v>
      </c>
      <c r="DN27" s="24">
        <v>66.772803139172851</v>
      </c>
      <c r="DO27" s="24">
        <v>750.51572645303156</v>
      </c>
    </row>
    <row r="28" spans="1:119" x14ac:dyDescent="0.3">
      <c r="A28" s="24" t="s">
        <v>385</v>
      </c>
      <c r="B28" s="24" t="s">
        <v>428</v>
      </c>
      <c r="C28" s="24" t="s">
        <v>429</v>
      </c>
      <c r="D28" s="24">
        <v>6.0000000000000001E-3</v>
      </c>
      <c r="E28" s="24">
        <v>8.0000000000000007E-5</v>
      </c>
      <c r="F28" s="24">
        <v>2.5596899999999999E-3</v>
      </c>
      <c r="G28" s="24">
        <v>8.75</v>
      </c>
      <c r="H28" s="24">
        <v>7.4999999999999997E-2</v>
      </c>
      <c r="I28" s="24">
        <v>2.67</v>
      </c>
      <c r="J28" s="24">
        <v>293.14999999999998</v>
      </c>
      <c r="K28" s="24">
        <v>411.62</v>
      </c>
      <c r="L28" s="24">
        <v>80</v>
      </c>
      <c r="M28" s="24">
        <v>0.3</v>
      </c>
      <c r="N28" s="24">
        <v>0.1564533868798976</v>
      </c>
      <c r="O28" s="24">
        <v>2.91920592484195E-2</v>
      </c>
      <c r="P28" s="24">
        <v>30.05869469405485</v>
      </c>
      <c r="Q28" s="24">
        <v>41.444017856085267</v>
      </c>
      <c r="R28" s="24">
        <v>50.312123244324169</v>
      </c>
      <c r="S28" s="24">
        <v>85.759522155571503</v>
      </c>
      <c r="T28" s="24">
        <v>61.360873088215129</v>
      </c>
      <c r="U28" s="24">
        <v>2.503120996058303</v>
      </c>
      <c r="V28" s="24">
        <v>360.4261719927506</v>
      </c>
      <c r="W28" s="24">
        <v>7.0913150263401201</v>
      </c>
      <c r="X28" s="24">
        <v>5.6399477702564669</v>
      </c>
      <c r="Y28" s="24">
        <v>6.9842981747819879</v>
      </c>
      <c r="Z28" s="24">
        <v>8.4480647737651982</v>
      </c>
      <c r="AA28" s="24">
        <v>6.3762962546129996E-4</v>
      </c>
      <c r="AB28" s="24">
        <v>1.1071054821324871</v>
      </c>
      <c r="AC28" s="24">
        <v>4.3298788611651382</v>
      </c>
      <c r="AD28" s="24">
        <v>7.0913357301939222</v>
      </c>
      <c r="AE28" s="24">
        <v>4.5</v>
      </c>
      <c r="AF28" s="24">
        <v>0.16965254216400491</v>
      </c>
      <c r="AG28" s="24">
        <v>2.8364054100589699E-2</v>
      </c>
      <c r="AH28" s="24">
        <v>89.97487497633827</v>
      </c>
      <c r="AI28" s="24">
        <v>77.765212672556018</v>
      </c>
      <c r="AJ28" s="24">
        <v>0.63000857575519209</v>
      </c>
      <c r="AK28" s="24">
        <v>1.4085943311721969</v>
      </c>
      <c r="AL28" s="24">
        <v>6.2196931209207094</v>
      </c>
      <c r="AM28" s="24">
        <v>48.953365593794032</v>
      </c>
      <c r="AN28" s="24">
        <v>59.167589972749617</v>
      </c>
      <c r="AO28" s="24">
        <v>82.547083212223654</v>
      </c>
      <c r="AP28" s="24">
        <v>48.953365593794032</v>
      </c>
      <c r="AQ28" s="24">
        <v>40.725899016276131</v>
      </c>
      <c r="AR28" s="24">
        <v>0.63609616580011752</v>
      </c>
      <c r="AS28" s="24">
        <v>9.6846392241297359</v>
      </c>
      <c r="AT28" s="24">
        <v>92.037723658367113</v>
      </c>
      <c r="AU28" s="24">
        <v>2.9930435713932959</v>
      </c>
      <c r="AV28" s="24">
        <v>8.984877852882704</v>
      </c>
      <c r="AW28" s="24">
        <v>10.806912595435589</v>
      </c>
      <c r="AX28" s="24">
        <v>5.2005074272200709</v>
      </c>
      <c r="AY28" s="24">
        <v>3.9168526953004208</v>
      </c>
      <c r="AZ28" s="24">
        <v>7.8391371969783323</v>
      </c>
      <c r="BA28" s="24">
        <v>85.343062760336082</v>
      </c>
      <c r="BB28" s="24">
        <v>118.38221153218819</v>
      </c>
      <c r="BC28" s="24">
        <v>7.6369877664991703</v>
      </c>
      <c r="BD28" s="24">
        <v>14.20336347316678</v>
      </c>
      <c r="BE28" s="24">
        <v>30.161788659087311</v>
      </c>
      <c r="BF28" s="24">
        <v>44.363132825829688</v>
      </c>
      <c r="BG28" s="24">
        <v>57.98116265106917</v>
      </c>
      <c r="BH28" s="24">
        <v>85.882022029954925</v>
      </c>
      <c r="BI28" s="24">
        <v>64.782002774332014</v>
      </c>
      <c r="BJ28" s="24">
        <v>2.595663759520713</v>
      </c>
      <c r="BK28" s="24">
        <v>7.1169153507875809</v>
      </c>
      <c r="BL28" s="24">
        <v>5.6539504409166934</v>
      </c>
      <c r="BM28" s="24">
        <v>6.9947727656180421</v>
      </c>
      <c r="BN28" s="24">
        <v>8.5587193141748816</v>
      </c>
      <c r="BO28" s="24">
        <v>0.96100579607539383</v>
      </c>
      <c r="BP28" s="24">
        <v>7.6369877664991703</v>
      </c>
      <c r="BQ28" s="24">
        <v>48.729268645422557</v>
      </c>
      <c r="BR28" s="24">
        <v>66.525122252207439</v>
      </c>
      <c r="BS28" s="24">
        <v>67.358196963624934</v>
      </c>
      <c r="BT28" s="24">
        <v>104.2183397119466</v>
      </c>
      <c r="BU28" s="24">
        <v>80.785771633060889</v>
      </c>
      <c r="BV28" s="24">
        <v>3.848578125828122</v>
      </c>
      <c r="BW28" s="24">
        <v>349.3500335115973</v>
      </c>
      <c r="BX28" s="24">
        <v>7.2379972385958338</v>
      </c>
      <c r="BY28" s="24">
        <v>5.7040367661128784</v>
      </c>
      <c r="BZ28" s="24">
        <v>7.0543967471945672</v>
      </c>
      <c r="CA28" s="24">
        <v>8.8554114652213016</v>
      </c>
      <c r="CB28" s="24">
        <v>1.3027737472749999E-4</v>
      </c>
      <c r="CC28" s="24">
        <v>0.82379092030164502</v>
      </c>
      <c r="CD28" s="24">
        <v>1.9633623018586011</v>
      </c>
      <c r="CE28" s="24">
        <v>10.217758911718571</v>
      </c>
      <c r="CF28" s="24">
        <v>341.52415615928351</v>
      </c>
      <c r="CG28" s="24">
        <v>342.82006711159357</v>
      </c>
      <c r="CH28" s="24">
        <v>345.73960502474182</v>
      </c>
      <c r="CI28" s="24">
        <v>342.38730258624997</v>
      </c>
      <c r="CJ28" s="24">
        <v>342.74657011975307</v>
      </c>
      <c r="CK28" s="24">
        <v>342.82006711159357</v>
      </c>
      <c r="CL28" s="24">
        <v>343.11518832200932</v>
      </c>
      <c r="CM28" s="24">
        <v>343.77159167407899</v>
      </c>
      <c r="CN28" s="24">
        <v>344.49112651712068</v>
      </c>
      <c r="CO28" s="24">
        <v>345.32674726126749</v>
      </c>
      <c r="CP28" s="24">
        <v>345.70972832063882</v>
      </c>
      <c r="CQ28" s="24">
        <v>346.36518050680297</v>
      </c>
      <c r="CR28" s="24">
        <v>347.78653617579499</v>
      </c>
      <c r="CS28" s="24">
        <v>350.08896654021339</v>
      </c>
      <c r="CT28" s="24">
        <v>351.56797585591278</v>
      </c>
      <c r="CU28" s="24">
        <v>355.09599090532032</v>
      </c>
      <c r="CV28" s="24">
        <v>370.12685262646198</v>
      </c>
      <c r="CW28" s="24">
        <v>402.07626573839599</v>
      </c>
      <c r="CX28" s="24">
        <v>407.46257625192447</v>
      </c>
      <c r="CY28" s="24">
        <v>7.7937544466485082</v>
      </c>
      <c r="CZ28" s="24">
        <v>7.9021381323642021</v>
      </c>
      <c r="DA28" s="24">
        <v>7.9316656011481026</v>
      </c>
      <c r="DB28" s="24">
        <v>8.087847311527339</v>
      </c>
      <c r="DC28" s="24">
        <v>8.4727515369525452</v>
      </c>
      <c r="DD28" s="24">
        <v>9.0015853744555834</v>
      </c>
      <c r="DE28" s="24">
        <v>9.7724258878649604</v>
      </c>
      <c r="DF28" s="24">
        <v>10.18847040804779</v>
      </c>
      <c r="DG28" s="24">
        <v>10.98995930896398</v>
      </c>
      <c r="DH28" s="24">
        <v>13.1258903653563</v>
      </c>
      <c r="DI28" s="24">
        <v>17.398080380144471</v>
      </c>
      <c r="DJ28" s="24">
        <v>20.398106978773161</v>
      </c>
      <c r="DK28" s="24">
        <v>27.472110325750009</v>
      </c>
      <c r="DL28" s="24">
        <v>45.032236192303159</v>
      </c>
      <c r="DM28" s="24">
        <v>62.466193100354019</v>
      </c>
      <c r="DN28" s="24">
        <v>66.491628022017935</v>
      </c>
      <c r="DO28" s="24">
        <v>870.15300478042388</v>
      </c>
    </row>
    <row r="29" spans="1:119" x14ac:dyDescent="0.3">
      <c r="A29" s="24" t="s">
        <v>369</v>
      </c>
      <c r="B29" s="24" t="s">
        <v>428</v>
      </c>
      <c r="C29" s="24" t="s">
        <v>429</v>
      </c>
      <c r="D29" s="24">
        <v>6.0000000000000001E-3</v>
      </c>
      <c r="E29" s="24">
        <v>6.33336E-5</v>
      </c>
      <c r="F29" s="24">
        <v>2.02674E-3</v>
      </c>
      <c r="G29" s="24">
        <v>8.75</v>
      </c>
      <c r="H29" s="24">
        <v>7.4999999999999997E-2</v>
      </c>
      <c r="I29" s="24">
        <v>2.9246599999999998</v>
      </c>
      <c r="J29" s="24">
        <v>293.14999999999998</v>
      </c>
      <c r="K29" s="24">
        <v>403.63299999999998</v>
      </c>
      <c r="L29" s="24">
        <v>80</v>
      </c>
      <c r="M29" s="24">
        <v>0.3</v>
      </c>
      <c r="N29" s="24">
        <v>0.1145473281083618</v>
      </c>
      <c r="O29" s="24">
        <v>2.45618706411369E-2</v>
      </c>
      <c r="P29" s="24">
        <v>24.44333836683181</v>
      </c>
      <c r="Q29" s="24">
        <v>35.049626630143273</v>
      </c>
      <c r="R29" s="24">
        <v>44.449310867909141</v>
      </c>
      <c r="S29" s="24">
        <v>64.514453508658391</v>
      </c>
      <c r="T29" s="24">
        <v>49.348537446772447</v>
      </c>
      <c r="U29" s="24">
        <v>2.6843545588832072</v>
      </c>
      <c r="V29" s="24">
        <v>362.05214306553688</v>
      </c>
      <c r="W29" s="24">
        <v>7.45351784187124</v>
      </c>
      <c r="X29" s="24">
        <v>6.2058669892889489</v>
      </c>
      <c r="Y29" s="24">
        <v>7.2170895714460404</v>
      </c>
      <c r="Z29" s="24">
        <v>8.8692707545468128</v>
      </c>
      <c r="AA29" s="24">
        <v>5.3308105404420002E-4</v>
      </c>
      <c r="AB29" s="24">
        <v>0.90150138122290957</v>
      </c>
      <c r="AC29" s="24">
        <v>5.7498198773532998</v>
      </c>
      <c r="AD29" s="24">
        <v>5.036991372958501</v>
      </c>
      <c r="AE29" s="24">
        <v>3.5</v>
      </c>
      <c r="AF29" s="24">
        <v>0.1232537026783853</v>
      </c>
      <c r="AG29" s="24">
        <v>2.3973047743585201E-2</v>
      </c>
      <c r="AH29" s="24">
        <v>73.151285132929019</v>
      </c>
      <c r="AI29" s="24">
        <v>48.478324306875493</v>
      </c>
      <c r="AJ29" s="24">
        <v>0.6959649366710785</v>
      </c>
      <c r="AK29" s="24">
        <v>1.2258702299381421</v>
      </c>
      <c r="AL29" s="24">
        <v>4.9849483351090393</v>
      </c>
      <c r="AM29" s="24">
        <v>42.176464322150323</v>
      </c>
      <c r="AN29" s="24">
        <v>53.155527006898247</v>
      </c>
      <c r="AO29" s="24">
        <v>87.498547238590021</v>
      </c>
      <c r="AP29" s="24">
        <v>42.176464322150323</v>
      </c>
      <c r="AQ29" s="24">
        <v>46.697835254997358</v>
      </c>
      <c r="AR29" s="24">
        <v>0.56365104506042285</v>
      </c>
      <c r="AS29" s="24">
        <v>10.56204937779188</v>
      </c>
      <c r="AT29" s="24">
        <v>99.600659162488967</v>
      </c>
      <c r="AU29" s="24">
        <v>2.3096194430301411</v>
      </c>
      <c r="AV29" s="24">
        <v>8.3791361510934372</v>
      </c>
      <c r="AW29" s="24">
        <v>13.06054563879194</v>
      </c>
      <c r="AX29" s="24">
        <v>6.0511941380585146</v>
      </c>
      <c r="AY29" s="24">
        <v>5.4836481527432168</v>
      </c>
      <c r="AZ29" s="24">
        <v>8.7397444910145285</v>
      </c>
      <c r="BA29" s="24">
        <v>88.188593542061426</v>
      </c>
      <c r="BB29" s="24">
        <v>113.6529741793172</v>
      </c>
      <c r="BC29" s="24">
        <v>5.2277115779616814</v>
      </c>
      <c r="BD29" s="24">
        <v>8.8542277233892914</v>
      </c>
      <c r="BE29" s="24">
        <v>24.457583216300751</v>
      </c>
      <c r="BF29" s="24">
        <v>36.476364695813281</v>
      </c>
      <c r="BG29" s="24">
        <v>44.482344839510297</v>
      </c>
      <c r="BH29" s="24">
        <v>64.535042473106117</v>
      </c>
      <c r="BI29" s="24">
        <v>50.857616975574132</v>
      </c>
      <c r="BJ29" s="24">
        <v>2.7293016958842018</v>
      </c>
      <c r="BK29" s="24">
        <v>7.5678444418238948</v>
      </c>
      <c r="BL29" s="24">
        <v>6.2446879588697364</v>
      </c>
      <c r="BM29" s="24">
        <v>7.3118544878162872</v>
      </c>
      <c r="BN29" s="24">
        <v>9.002438067792335</v>
      </c>
      <c r="BO29" s="24">
        <v>0.90097451924808603</v>
      </c>
      <c r="BP29" s="24">
        <v>5.2277115779616814</v>
      </c>
      <c r="BQ29" s="24">
        <v>34.78910817901307</v>
      </c>
      <c r="BR29" s="24">
        <v>51.009170574721203</v>
      </c>
      <c r="BS29" s="24">
        <v>54.454799016989213</v>
      </c>
      <c r="BT29" s="24">
        <v>74.461851882530937</v>
      </c>
      <c r="BU29" s="24">
        <v>60.780806595583989</v>
      </c>
      <c r="BV29" s="24">
        <v>4.0973521723139514</v>
      </c>
      <c r="BW29" s="24">
        <v>356.34441023565222</v>
      </c>
      <c r="BX29" s="24">
        <v>8.3680243567105546</v>
      </c>
      <c r="BY29" s="24">
        <v>6.7796102413677328</v>
      </c>
      <c r="BZ29" s="24">
        <v>8.0829538633451268</v>
      </c>
      <c r="CA29" s="24">
        <v>10.28451019230255</v>
      </c>
      <c r="CB29" s="24">
        <v>7.4940965179286955E-5</v>
      </c>
      <c r="CC29" s="24">
        <v>0.72854448863433452</v>
      </c>
      <c r="CD29" s="24">
        <v>3.6206935294802411</v>
      </c>
      <c r="CE29" s="24">
        <v>6.5625757081799536</v>
      </c>
      <c r="CF29" s="24">
        <v>344.9051790969686</v>
      </c>
      <c r="CG29" s="24">
        <v>346.27651556525291</v>
      </c>
      <c r="CH29" s="24">
        <v>349.26798038258039</v>
      </c>
      <c r="CI29" s="24">
        <v>345.82943559464422</v>
      </c>
      <c r="CJ29" s="24">
        <v>346.20320640706768</v>
      </c>
      <c r="CK29" s="24">
        <v>346.27651556525291</v>
      </c>
      <c r="CL29" s="24">
        <v>346.57426370911639</v>
      </c>
      <c r="CM29" s="24">
        <v>347.2179752770171</v>
      </c>
      <c r="CN29" s="24">
        <v>347.90163429644002</v>
      </c>
      <c r="CO29" s="24">
        <v>348.66039618776762</v>
      </c>
      <c r="CP29" s="24">
        <v>348.99167962215893</v>
      </c>
      <c r="CQ29" s="24">
        <v>349.52872805264042</v>
      </c>
      <c r="CR29" s="24">
        <v>350.57616628395579</v>
      </c>
      <c r="CS29" s="24">
        <v>351.95535855625968</v>
      </c>
      <c r="CT29" s="24">
        <v>352.71332170756682</v>
      </c>
      <c r="CU29" s="24">
        <v>354.54853276631411</v>
      </c>
      <c r="CV29" s="24">
        <v>366.03769522545099</v>
      </c>
      <c r="CW29" s="24">
        <v>394.56281971948653</v>
      </c>
      <c r="CX29" s="24">
        <v>399.67211662998119</v>
      </c>
      <c r="CY29" s="24">
        <v>5.2980426358736334</v>
      </c>
      <c r="CZ29" s="24">
        <v>5.3529645998474464</v>
      </c>
      <c r="DA29" s="24">
        <v>5.3678993440821028</v>
      </c>
      <c r="DB29" s="24">
        <v>5.4463088829457238</v>
      </c>
      <c r="DC29" s="24">
        <v>5.6421307869091804</v>
      </c>
      <c r="DD29" s="24">
        <v>5.9112874629133056</v>
      </c>
      <c r="DE29" s="24">
        <v>6.2977344434573146</v>
      </c>
      <c r="DF29" s="24">
        <v>6.50437326906113</v>
      </c>
      <c r="DG29" s="24">
        <v>6.9038854223889778</v>
      </c>
      <c r="DH29" s="24">
        <v>7.9724272616672973</v>
      </c>
      <c r="DI29" s="24">
        <v>10.25171468885776</v>
      </c>
      <c r="DJ29" s="24">
        <v>12.0524002863418</v>
      </c>
      <c r="DK29" s="24">
        <v>17.169042780182419</v>
      </c>
      <c r="DL29" s="24">
        <v>35.649712438011861</v>
      </c>
      <c r="DM29" s="24">
        <v>59.632493322834563</v>
      </c>
      <c r="DN29" s="24">
        <v>65.215240718183793</v>
      </c>
      <c r="DO29" s="24">
        <v>885.00849771089884</v>
      </c>
    </row>
    <row r="30" spans="1:119" x14ac:dyDescent="0.3">
      <c r="A30" s="24" t="s">
        <v>393</v>
      </c>
      <c r="B30" s="24" t="s">
        <v>428</v>
      </c>
      <c r="C30" s="24" t="s">
        <v>429</v>
      </c>
      <c r="D30" s="24">
        <v>6.0000000000000001E-3</v>
      </c>
      <c r="E30" s="24">
        <v>6.58957E-5</v>
      </c>
      <c r="F30" s="24">
        <v>2.0873200000000001E-3</v>
      </c>
      <c r="G30" s="24">
        <v>8.75</v>
      </c>
      <c r="H30" s="24">
        <v>7.4999999999999997E-2</v>
      </c>
      <c r="I30" s="24">
        <v>2.88551</v>
      </c>
      <c r="J30" s="24">
        <v>293.14999999999998</v>
      </c>
      <c r="K30" s="24">
        <v>416.68400000000003</v>
      </c>
      <c r="L30" s="24">
        <v>80</v>
      </c>
      <c r="M30" s="24">
        <v>0.3</v>
      </c>
      <c r="N30" s="24">
        <v>8.0460646861799795E-2</v>
      </c>
      <c r="O30" s="24">
        <v>2.5218553933844302E-2</v>
      </c>
      <c r="P30" s="24">
        <v>23.941617096889029</v>
      </c>
      <c r="Q30" s="24">
        <v>36.485819261594493</v>
      </c>
      <c r="R30" s="24">
        <v>44.960588157783278</v>
      </c>
      <c r="S30" s="24">
        <v>65.643035695322098</v>
      </c>
      <c r="T30" s="24">
        <v>51.619202112250953</v>
      </c>
      <c r="U30" s="24">
        <v>2.664105344351444</v>
      </c>
      <c r="V30" s="24">
        <v>372.94757665204799</v>
      </c>
      <c r="W30" s="24">
        <v>7.384540089788195</v>
      </c>
      <c r="X30" s="24">
        <v>6.1206442355225006</v>
      </c>
      <c r="Y30" s="24">
        <v>7.1665858014965451</v>
      </c>
      <c r="Z30" s="24">
        <v>8.6952559965682727</v>
      </c>
      <c r="AA30" s="24">
        <v>5.5232857227979998E-4</v>
      </c>
      <c r="AB30" s="24">
        <v>0.92751052215080942</v>
      </c>
      <c r="AC30" s="24">
        <v>6.7396788746295329</v>
      </c>
      <c r="AD30" s="24">
        <v>4.0776863069862959</v>
      </c>
      <c r="AE30" s="24">
        <v>3.5</v>
      </c>
      <c r="AF30" s="24">
        <v>0.1179622106053632</v>
      </c>
      <c r="AG30" s="24">
        <v>2.4598222337157999E-2</v>
      </c>
      <c r="AH30" s="24">
        <v>49.272592621554047</v>
      </c>
      <c r="AI30" s="24">
        <v>28.030447717728521</v>
      </c>
      <c r="AJ30" s="24">
        <v>1.272637535038412</v>
      </c>
      <c r="AK30" s="24">
        <v>2.4076818974780978</v>
      </c>
      <c r="AL30" s="24">
        <v>5.1586662569448709</v>
      </c>
      <c r="AM30" s="24">
        <v>39.297556275364933</v>
      </c>
      <c r="AN30" s="24">
        <v>50.717320895307353</v>
      </c>
      <c r="AO30" s="24">
        <v>88.021961208433623</v>
      </c>
      <c r="AP30" s="24">
        <v>39.297556275364933</v>
      </c>
      <c r="AQ30" s="24">
        <v>49.162721939189389</v>
      </c>
      <c r="AR30" s="24">
        <v>0.59761753021756781</v>
      </c>
      <c r="AS30" s="24">
        <v>10.942104255228109</v>
      </c>
      <c r="AT30" s="24">
        <v>99.999577882893703</v>
      </c>
      <c r="AU30" s="24">
        <v>2.3549912378176709</v>
      </c>
      <c r="AV30" s="24">
        <v>9.3689364453280337</v>
      </c>
      <c r="AW30" s="24">
        <v>14.3219943503638</v>
      </c>
      <c r="AX30" s="24">
        <v>6.5381572529089791</v>
      </c>
      <c r="AY30" s="24">
        <v>6.5884150961338506</v>
      </c>
      <c r="AZ30" s="24">
        <v>9.1341172627484557</v>
      </c>
      <c r="BA30" s="24">
        <v>98.905946578023503</v>
      </c>
      <c r="BB30" s="24">
        <v>126.8600639295932</v>
      </c>
      <c r="BC30" s="24">
        <v>4.2754145408614761</v>
      </c>
      <c r="BD30" s="24">
        <v>7.7360472097871176</v>
      </c>
      <c r="BE30" s="24">
        <v>23.9637422066134</v>
      </c>
      <c r="BF30" s="24">
        <v>38.013551156123647</v>
      </c>
      <c r="BG30" s="24">
        <v>45.063093439829323</v>
      </c>
      <c r="BH30" s="24">
        <v>73.272823993745831</v>
      </c>
      <c r="BI30" s="24">
        <v>53.254644035960801</v>
      </c>
      <c r="BJ30" s="24">
        <v>2.7067573274350512</v>
      </c>
      <c r="BK30" s="24">
        <v>7.4810018830514746</v>
      </c>
      <c r="BL30" s="24">
        <v>6.1600097969917273</v>
      </c>
      <c r="BM30" s="24">
        <v>7.2381391907062707</v>
      </c>
      <c r="BN30" s="24">
        <v>8.8861899141921636</v>
      </c>
      <c r="BO30" s="24">
        <v>1.0942231884939859</v>
      </c>
      <c r="BP30" s="24">
        <v>4.275414540861477</v>
      </c>
      <c r="BQ30" s="24">
        <v>43.664597066618363</v>
      </c>
      <c r="BR30" s="24">
        <v>54.909121904520887</v>
      </c>
      <c r="BS30" s="24">
        <v>56.303235347744852</v>
      </c>
      <c r="BT30" s="24">
        <v>73.465116621312788</v>
      </c>
      <c r="BU30" s="24">
        <v>65.425188475471018</v>
      </c>
      <c r="BV30" s="24">
        <v>4.1895498055879381</v>
      </c>
      <c r="BW30" s="24">
        <v>365.5037029967682</v>
      </c>
      <c r="BX30" s="24">
        <v>8.1898621875192337</v>
      </c>
      <c r="BY30" s="24">
        <v>6.6180851805535044</v>
      </c>
      <c r="BZ30" s="24">
        <v>7.9147939321727083</v>
      </c>
      <c r="CA30" s="24">
        <v>9.8032494220558366</v>
      </c>
      <c r="CB30" s="24">
        <v>7.3867469342047204E-5</v>
      </c>
      <c r="CC30" s="24">
        <v>0.52928609467356391</v>
      </c>
      <c r="CD30" s="24">
        <v>5.4768362580053038</v>
      </c>
      <c r="CE30" s="24">
        <v>5.7284426396039407</v>
      </c>
      <c r="CF30" s="24">
        <v>354.03086480519102</v>
      </c>
      <c r="CG30" s="24">
        <v>355.62934657975927</v>
      </c>
      <c r="CH30" s="24">
        <v>359.18257732931602</v>
      </c>
      <c r="CI30" s="24">
        <v>355.1140174470894</v>
      </c>
      <c r="CJ30" s="24">
        <v>355.54602241247369</v>
      </c>
      <c r="CK30" s="24">
        <v>355.62934657975927</v>
      </c>
      <c r="CL30" s="24">
        <v>355.97036164630242</v>
      </c>
      <c r="CM30" s="24">
        <v>356.71613855811358</v>
      </c>
      <c r="CN30" s="24">
        <v>357.50804320869042</v>
      </c>
      <c r="CO30" s="24">
        <v>358.38130732901999</v>
      </c>
      <c r="CP30" s="24">
        <v>358.76083461621067</v>
      </c>
      <c r="CQ30" s="24">
        <v>359.37936985130352</v>
      </c>
      <c r="CR30" s="24">
        <v>360.56686141740209</v>
      </c>
      <c r="CS30" s="24">
        <v>362.09425564400283</v>
      </c>
      <c r="CT30" s="24">
        <v>362.91941348187407</v>
      </c>
      <c r="CU30" s="24">
        <v>364.87951343502698</v>
      </c>
      <c r="CV30" s="24">
        <v>376.70789192883899</v>
      </c>
      <c r="CW30" s="24">
        <v>406.71352603615139</v>
      </c>
      <c r="CX30" s="24">
        <v>412.32699401917461</v>
      </c>
      <c r="CY30" s="24">
        <v>4.3433724314192403</v>
      </c>
      <c r="CZ30" s="24">
        <v>4.3976912183942058</v>
      </c>
      <c r="DA30" s="24">
        <v>4.4122911987357609</v>
      </c>
      <c r="DB30" s="24">
        <v>4.4897609323896237</v>
      </c>
      <c r="DC30" s="24">
        <v>4.6812300657223798</v>
      </c>
      <c r="DD30" s="24">
        <v>4.9421219053448224</v>
      </c>
      <c r="DE30" s="24">
        <v>5.323790904361819</v>
      </c>
      <c r="DF30" s="24">
        <v>5.5302512994899562</v>
      </c>
      <c r="DG30" s="24">
        <v>5.9262581357965836</v>
      </c>
      <c r="DH30" s="24">
        <v>6.9808032446239094</v>
      </c>
      <c r="DI30" s="24">
        <v>9.2220939872420846</v>
      </c>
      <c r="DJ30" s="24">
        <v>10.99821360682151</v>
      </c>
      <c r="DK30" s="24">
        <v>16.12104882333772</v>
      </c>
      <c r="DL30" s="24">
        <v>34.665604903394367</v>
      </c>
      <c r="DM30" s="24">
        <v>59.229605688763989</v>
      </c>
      <c r="DN30" s="24">
        <v>65.04984207722282</v>
      </c>
      <c r="DO30" s="24">
        <v>1025.1587934538561</v>
      </c>
    </row>
    <row r="31" spans="1:119" x14ac:dyDescent="0.3">
      <c r="A31" s="24" t="s">
        <v>403</v>
      </c>
      <c r="B31" s="24" t="s">
        <v>428</v>
      </c>
      <c r="C31" s="24" t="s">
        <v>429</v>
      </c>
      <c r="D31" s="24">
        <v>6.0000000000000001E-3</v>
      </c>
      <c r="E31" s="24">
        <v>7.5103800000000004E-5</v>
      </c>
      <c r="F31" s="24">
        <v>2.3050499999999999E-3</v>
      </c>
      <c r="G31" s="24">
        <v>8.75</v>
      </c>
      <c r="H31" s="24">
        <v>7.4999999999999997E-2</v>
      </c>
      <c r="I31" s="24">
        <v>2.7448100000000002</v>
      </c>
      <c r="J31" s="24">
        <v>293.14999999999998</v>
      </c>
      <c r="K31" s="24">
        <v>422.75299999999999</v>
      </c>
      <c r="L31" s="24">
        <v>80</v>
      </c>
      <c r="M31" s="24">
        <v>0.3</v>
      </c>
      <c r="N31" s="24">
        <v>8.3937015194304604E-2</v>
      </c>
      <c r="O31" s="24">
        <v>2.7154527492570701E-2</v>
      </c>
      <c r="P31" s="24">
        <v>22.670558443949041</v>
      </c>
      <c r="Q31" s="24">
        <v>40.000824427802392</v>
      </c>
      <c r="R31" s="24">
        <v>51.908274030011242</v>
      </c>
      <c r="S31" s="24">
        <v>78.9560202762964</v>
      </c>
      <c r="T31" s="24">
        <v>58.278375384772737</v>
      </c>
      <c r="U31" s="24">
        <v>2.5354038631634022</v>
      </c>
      <c r="V31" s="24">
        <v>374.80481147686442</v>
      </c>
      <c r="W31" s="24">
        <v>7.2332699224274304</v>
      </c>
      <c r="X31" s="24">
        <v>5.8534399651993914</v>
      </c>
      <c r="Y31" s="24">
        <v>7.0771053843401228</v>
      </c>
      <c r="Z31" s="24">
        <v>8.6327829619540086</v>
      </c>
      <c r="AA31" s="24">
        <v>5.7908951291759997E-4</v>
      </c>
      <c r="AB31" s="24">
        <v>1.084325435282349</v>
      </c>
      <c r="AC31" s="24">
        <v>6.5240545333799371</v>
      </c>
      <c r="AD31" s="24">
        <v>4.6806653515319754</v>
      </c>
      <c r="AE31" s="24">
        <v>4</v>
      </c>
      <c r="AF31" s="24">
        <v>0.16257856654239719</v>
      </c>
      <c r="AG31" s="24">
        <v>2.6436652680545299E-2</v>
      </c>
      <c r="AH31" s="24">
        <v>60.01764371815932</v>
      </c>
      <c r="AI31" s="24">
        <v>40.525216764674873</v>
      </c>
      <c r="AJ31" s="24">
        <v>1.5188813774975829</v>
      </c>
      <c r="AK31" s="24">
        <v>3.3083200645297022</v>
      </c>
      <c r="AL31" s="24">
        <v>5.6758921517706158</v>
      </c>
      <c r="AM31" s="24">
        <v>41.234482140936642</v>
      </c>
      <c r="AN31" s="24">
        <v>52.474162276374052</v>
      </c>
      <c r="AO31" s="24">
        <v>83.442180757154645</v>
      </c>
      <c r="AP31" s="24">
        <v>41.234482140936642</v>
      </c>
      <c r="AQ31" s="24">
        <v>47.430433207547331</v>
      </c>
      <c r="AR31" s="24">
        <v>0.62534666667026806</v>
      </c>
      <c r="AS31" s="24">
        <v>10.70973798484577</v>
      </c>
      <c r="AT31" s="24">
        <v>99.987367495975761</v>
      </c>
      <c r="AU31" s="24">
        <v>2.6210875650802632</v>
      </c>
      <c r="AV31" s="24">
        <v>9.8292151968190833</v>
      </c>
      <c r="AW31" s="24">
        <v>13.50018792961048</v>
      </c>
      <c r="AX31" s="24">
        <v>6.2342929996494316</v>
      </c>
      <c r="AY31" s="24">
        <v>6.2909406030281216</v>
      </c>
      <c r="AZ31" s="24">
        <v>8.7806957379463082</v>
      </c>
      <c r="BA31" s="24">
        <v>100.13096476046501</v>
      </c>
      <c r="BB31" s="24">
        <v>130.46347095794511</v>
      </c>
      <c r="BC31" s="24">
        <v>5.0220971948425497</v>
      </c>
      <c r="BD31" s="24">
        <v>9.6945875465832874</v>
      </c>
      <c r="BE31" s="24">
        <v>22.77346607156877</v>
      </c>
      <c r="BF31" s="24">
        <v>42.534610105184562</v>
      </c>
      <c r="BG31" s="24">
        <v>52.000990121205682</v>
      </c>
      <c r="BH31" s="24">
        <v>81.355924332753006</v>
      </c>
      <c r="BI31" s="24">
        <v>61.066858546283953</v>
      </c>
      <c r="BJ31" s="24">
        <v>2.6132408068806678</v>
      </c>
      <c r="BK31" s="24">
        <v>7.2795007974163086</v>
      </c>
      <c r="BL31" s="24">
        <v>5.8819750956282864</v>
      </c>
      <c r="BM31" s="24">
        <v>7.1249524254003447</v>
      </c>
      <c r="BN31" s="24">
        <v>8.6886951152318588</v>
      </c>
      <c r="BO31" s="24">
        <v>1.1265642851153079</v>
      </c>
      <c r="BP31" s="24">
        <v>5.0220971948425488</v>
      </c>
      <c r="BQ31" s="24">
        <v>42.237394199019981</v>
      </c>
      <c r="BR31" s="24">
        <v>62.478781265461173</v>
      </c>
      <c r="BS31" s="24">
        <v>69.276726096467257</v>
      </c>
      <c r="BT31" s="24">
        <v>91.01373088704436</v>
      </c>
      <c r="BU31" s="24">
        <v>74.908990900034951</v>
      </c>
      <c r="BV31" s="24">
        <v>4.08869232058011</v>
      </c>
      <c r="BW31" s="24">
        <v>365.60162660058393</v>
      </c>
      <c r="BX31" s="24">
        <v>7.5124786413464584</v>
      </c>
      <c r="BY31" s="24">
        <v>6.1000876522777494</v>
      </c>
      <c r="BZ31" s="24">
        <v>7.3971543541461244</v>
      </c>
      <c r="CA31" s="24">
        <v>8.8520829151671734</v>
      </c>
      <c r="CB31" s="24">
        <v>1.1242552333669999E-4</v>
      </c>
      <c r="CC31" s="24">
        <v>0.70407970232461226</v>
      </c>
      <c r="CD31" s="24">
        <v>5.1161763162497094</v>
      </c>
      <c r="CE31" s="24">
        <v>6.7427233937352522</v>
      </c>
      <c r="CF31" s="24">
        <v>354.74491146495092</v>
      </c>
      <c r="CG31" s="24">
        <v>356.35416492284872</v>
      </c>
      <c r="CH31" s="24">
        <v>360.01848060821868</v>
      </c>
      <c r="CI31" s="24">
        <v>355.82588380801849</v>
      </c>
      <c r="CJ31" s="24">
        <v>356.26733505745938</v>
      </c>
      <c r="CK31" s="24">
        <v>356.35416492284872</v>
      </c>
      <c r="CL31" s="24">
        <v>356.70464008956839</v>
      </c>
      <c r="CM31" s="24">
        <v>357.47606983399061</v>
      </c>
      <c r="CN31" s="24">
        <v>358.30092964698639</v>
      </c>
      <c r="CO31" s="24">
        <v>359.21727374529348</v>
      </c>
      <c r="CP31" s="24">
        <v>359.623443455401</v>
      </c>
      <c r="CQ31" s="24">
        <v>360.2898979490281</v>
      </c>
      <c r="CR31" s="24">
        <v>361.6311512222631</v>
      </c>
      <c r="CS31" s="24">
        <v>363.53673049536542</v>
      </c>
      <c r="CT31" s="24">
        <v>364.68460497483551</v>
      </c>
      <c r="CU31" s="24">
        <v>367.50253332242079</v>
      </c>
      <c r="CV31" s="24">
        <v>381.53035207807801</v>
      </c>
      <c r="CW31" s="24">
        <v>412.56452681077371</v>
      </c>
      <c r="CX31" s="24">
        <v>418.2794583542053</v>
      </c>
      <c r="CY31" s="24">
        <v>5.1200837467652009</v>
      </c>
      <c r="CZ31" s="24">
        <v>5.194877054677753</v>
      </c>
      <c r="DA31" s="24">
        <v>5.2152024520994154</v>
      </c>
      <c r="DB31" s="24">
        <v>5.3227033863269657</v>
      </c>
      <c r="DC31" s="24">
        <v>5.5891504569902484</v>
      </c>
      <c r="DD31" s="24">
        <v>5.9537914891991353</v>
      </c>
      <c r="DE31" s="24">
        <v>6.483623539904551</v>
      </c>
      <c r="DF31" s="24">
        <v>6.7691877245830891</v>
      </c>
      <c r="DG31" s="24">
        <v>7.3198709254869394</v>
      </c>
      <c r="DH31" s="24">
        <v>8.8083706177753491</v>
      </c>
      <c r="DI31" s="24">
        <v>12.003187561165729</v>
      </c>
      <c r="DJ31" s="24">
        <v>14.44261432563618</v>
      </c>
      <c r="DK31" s="24">
        <v>20.968101582432489</v>
      </c>
      <c r="DL31" s="24">
        <v>40.330771334589052</v>
      </c>
      <c r="DM31" s="24">
        <v>60.854668570998491</v>
      </c>
      <c r="DN31" s="24">
        <v>65.774227173764771</v>
      </c>
      <c r="DO31" s="24">
        <v>1052.6831935459661</v>
      </c>
    </row>
    <row r="32" spans="1:119" x14ac:dyDescent="0.3">
      <c r="A32" s="24" t="s">
        <v>397</v>
      </c>
      <c r="B32" s="24" t="s">
        <v>428</v>
      </c>
      <c r="C32" s="24" t="s">
        <v>429</v>
      </c>
      <c r="D32" s="24">
        <v>6.0000000000000001E-3</v>
      </c>
      <c r="E32" s="24">
        <v>8.0000000000000007E-5</v>
      </c>
      <c r="F32" s="24">
        <v>2.4986700000000001E-3</v>
      </c>
      <c r="G32" s="24">
        <v>8.75</v>
      </c>
      <c r="H32" s="24">
        <v>7.4999999999999997E-2</v>
      </c>
      <c r="I32" s="24">
        <v>2.67</v>
      </c>
      <c r="J32" s="24">
        <v>293.14999999999998</v>
      </c>
      <c r="K32" s="24">
        <v>418.83699999999999</v>
      </c>
      <c r="L32" s="24">
        <v>80</v>
      </c>
      <c r="M32" s="24">
        <v>0.3</v>
      </c>
      <c r="N32" s="24">
        <v>0.1162408997847304</v>
      </c>
      <c r="O32" s="24">
        <v>2.8776786617566E-2</v>
      </c>
      <c r="P32" s="24">
        <v>30.090312139879391</v>
      </c>
      <c r="Q32" s="24">
        <v>41.624880356689367</v>
      </c>
      <c r="R32" s="24">
        <v>50.347940348007327</v>
      </c>
      <c r="S32" s="24">
        <v>85.751498191348446</v>
      </c>
      <c r="T32" s="24">
        <v>61.592862090093419</v>
      </c>
      <c r="U32" s="24">
        <v>2.4995832485663501</v>
      </c>
      <c r="V32" s="24">
        <v>367.90237256102392</v>
      </c>
      <c r="W32" s="24">
        <v>7.0850958781076923</v>
      </c>
      <c r="X32" s="24">
        <v>5.6407396655302877</v>
      </c>
      <c r="Y32" s="24">
        <v>6.9531495305725688</v>
      </c>
      <c r="Z32" s="24">
        <v>8.4669928364918228</v>
      </c>
      <c r="AA32" s="24">
        <v>6.2226564523589997E-4</v>
      </c>
      <c r="AB32" s="24">
        <v>1.1055305473617449</v>
      </c>
      <c r="AC32" s="24">
        <v>5.5829727604891559</v>
      </c>
      <c r="AD32" s="24">
        <v>6.0099822895563522</v>
      </c>
      <c r="AE32" s="24">
        <v>4.5</v>
      </c>
      <c r="AF32" s="24">
        <v>0.16987084702605609</v>
      </c>
      <c r="AG32" s="24">
        <v>2.79718467522765E-2</v>
      </c>
      <c r="AH32" s="24">
        <v>79.273000896049624</v>
      </c>
      <c r="AI32" s="24">
        <v>61.920267722429799</v>
      </c>
      <c r="AJ32" s="24">
        <v>1.0225946517840141</v>
      </c>
      <c r="AK32" s="24">
        <v>2.419914043286175</v>
      </c>
      <c r="AL32" s="24">
        <v>6.1088698714477294</v>
      </c>
      <c r="AM32" s="24">
        <v>45.541991465045818</v>
      </c>
      <c r="AN32" s="24">
        <v>56.241205733238118</v>
      </c>
      <c r="AO32" s="24">
        <v>82.602233174556233</v>
      </c>
      <c r="AP32" s="24">
        <v>45.541991465045818</v>
      </c>
      <c r="AQ32" s="24">
        <v>43.663047964387133</v>
      </c>
      <c r="AR32" s="24">
        <v>0.64613419912781644</v>
      </c>
      <c r="AS32" s="24">
        <v>10.14882637143924</v>
      </c>
      <c r="AT32" s="24">
        <v>98.941415509020715</v>
      </c>
      <c r="AU32" s="24">
        <v>2.8853918699823771</v>
      </c>
      <c r="AV32" s="24">
        <v>9.5322220198807166</v>
      </c>
      <c r="AW32" s="24">
        <v>11.8930117009653</v>
      </c>
      <c r="AX32" s="24">
        <v>5.6174055093169137</v>
      </c>
      <c r="AY32" s="24">
        <v>5.2317505111310156</v>
      </c>
      <c r="AZ32" s="24">
        <v>8.3983607730715342</v>
      </c>
      <c r="BA32" s="24">
        <v>92.897921824476882</v>
      </c>
      <c r="BB32" s="24">
        <v>126.443986647305</v>
      </c>
      <c r="BC32" s="24">
        <v>6.4749704165319546</v>
      </c>
      <c r="BD32" s="24">
        <v>12.337012017703451</v>
      </c>
      <c r="BE32" s="24">
        <v>30.18211469516692</v>
      </c>
      <c r="BF32" s="24">
        <v>44.527868908932497</v>
      </c>
      <c r="BG32" s="24">
        <v>58.012451534660507</v>
      </c>
      <c r="BH32" s="24">
        <v>85.888434364869212</v>
      </c>
      <c r="BI32" s="24">
        <v>64.915562669823302</v>
      </c>
      <c r="BJ32" s="24">
        <v>2.59907120388677</v>
      </c>
      <c r="BK32" s="24">
        <v>7.1187380023810656</v>
      </c>
      <c r="BL32" s="24">
        <v>5.6565441755994774</v>
      </c>
      <c r="BM32" s="24">
        <v>6.9745447419040252</v>
      </c>
      <c r="BN32" s="24">
        <v>8.5436159859291632</v>
      </c>
      <c r="BO32" s="24">
        <v>0.96024763987813244</v>
      </c>
      <c r="BP32" s="24">
        <v>6.4749704165319537</v>
      </c>
      <c r="BQ32" s="24">
        <v>48.746677393328149</v>
      </c>
      <c r="BR32" s="24">
        <v>66.571182516107655</v>
      </c>
      <c r="BS32" s="24">
        <v>69.009197775799208</v>
      </c>
      <c r="BT32" s="24">
        <v>102.8026421885629</v>
      </c>
      <c r="BU32" s="24">
        <v>80.510489268258198</v>
      </c>
      <c r="BV32" s="24">
        <v>3.8542139045727009</v>
      </c>
      <c r="BW32" s="24">
        <v>357.24324167857628</v>
      </c>
      <c r="BX32" s="24">
        <v>7.2784662377113829</v>
      </c>
      <c r="BY32" s="24">
        <v>5.7096044204634442</v>
      </c>
      <c r="BZ32" s="24">
        <v>7.1417916700220809</v>
      </c>
      <c r="CA32" s="24">
        <v>8.654055775326821</v>
      </c>
      <c r="CB32" s="24">
        <v>1.2733535721849999E-4</v>
      </c>
      <c r="CC32" s="24">
        <v>0.7833153628427143</v>
      </c>
      <c r="CD32" s="24">
        <v>3.5641949892841311</v>
      </c>
      <c r="CE32" s="24">
        <v>8.6826708687340535</v>
      </c>
      <c r="CF32" s="24">
        <v>348.14911575006499</v>
      </c>
      <c r="CG32" s="24">
        <v>349.60296922877711</v>
      </c>
      <c r="CH32" s="24">
        <v>352.87192914785459</v>
      </c>
      <c r="CI32" s="24">
        <v>349.11953842226688</v>
      </c>
      <c r="CJ32" s="24">
        <v>349.52240405839399</v>
      </c>
      <c r="CK32" s="24">
        <v>349.60296922877711</v>
      </c>
      <c r="CL32" s="24">
        <v>349.92860295369348</v>
      </c>
      <c r="CM32" s="24">
        <v>350.64646210201909</v>
      </c>
      <c r="CN32" s="24">
        <v>351.4230493500678</v>
      </c>
      <c r="CO32" s="24">
        <v>352.31060299078388</v>
      </c>
      <c r="CP32" s="24">
        <v>352.71064179596698</v>
      </c>
      <c r="CQ32" s="24">
        <v>353.38859499889821</v>
      </c>
      <c r="CR32" s="24">
        <v>354.82139331979403</v>
      </c>
      <c r="CS32" s="24">
        <v>357.04880968679561</v>
      </c>
      <c r="CT32" s="24">
        <v>358.45340779110029</v>
      </c>
      <c r="CU32" s="24">
        <v>361.86778950260651</v>
      </c>
      <c r="CV32" s="24">
        <v>376.90443102214238</v>
      </c>
      <c r="CW32" s="24">
        <v>408.89128550908032</v>
      </c>
      <c r="CX32" s="24">
        <v>414.48045197915428</v>
      </c>
      <c r="CY32" s="24">
        <v>6.6107285484274971</v>
      </c>
      <c r="CZ32" s="24">
        <v>6.7068507666055099</v>
      </c>
      <c r="DA32" s="24">
        <v>6.7330699800111056</v>
      </c>
      <c r="DB32" s="24">
        <v>6.8715472776235353</v>
      </c>
      <c r="DC32" s="24">
        <v>7.2144632930824422</v>
      </c>
      <c r="DD32" s="24">
        <v>7.6863733688243769</v>
      </c>
      <c r="DE32" s="24">
        <v>8.3823861174472221</v>
      </c>
      <c r="DF32" s="24">
        <v>8.7586471602703018</v>
      </c>
      <c r="DG32" s="24">
        <v>9.4818096845776978</v>
      </c>
      <c r="DH32" s="24">
        <v>11.43606317472868</v>
      </c>
      <c r="DI32" s="24">
        <v>15.44786810793989</v>
      </c>
      <c r="DJ32" s="24">
        <v>18.327805272831181</v>
      </c>
      <c r="DK32" s="24">
        <v>25.361638517051851</v>
      </c>
      <c r="DL32" s="24">
        <v>43.948984218993537</v>
      </c>
      <c r="DM32" s="24">
        <v>62.017128408532088</v>
      </c>
      <c r="DN32" s="24">
        <v>66.290662453608391</v>
      </c>
      <c r="DO32" s="24">
        <v>967.40866213779259</v>
      </c>
    </row>
    <row r="33" spans="1:119" x14ac:dyDescent="0.3">
      <c r="A33" s="24" t="s">
        <v>386</v>
      </c>
      <c r="B33" s="24" t="s">
        <v>428</v>
      </c>
      <c r="C33" s="24" t="s">
        <v>429</v>
      </c>
      <c r="D33" s="24">
        <v>6.0000000000000001E-3</v>
      </c>
      <c r="E33" s="24">
        <v>8.0000000000000007E-5</v>
      </c>
      <c r="F33" s="24">
        <v>2.4519699999999999E-3</v>
      </c>
      <c r="G33" s="24">
        <v>8.75</v>
      </c>
      <c r="H33" s="24">
        <v>7.4999999999999997E-2</v>
      </c>
      <c r="I33" s="24">
        <v>2.67</v>
      </c>
      <c r="J33" s="24">
        <v>293.14999999999998</v>
      </c>
      <c r="K33" s="24">
        <v>412.262</v>
      </c>
      <c r="L33" s="24">
        <v>80</v>
      </c>
      <c r="M33" s="24">
        <v>0.3</v>
      </c>
      <c r="N33" s="24">
        <v>0.13659437308797839</v>
      </c>
      <c r="O33" s="24">
        <v>2.8271942964939401E-2</v>
      </c>
      <c r="P33" s="24">
        <v>30.055925035788601</v>
      </c>
      <c r="Q33" s="24">
        <v>41.328455032038512</v>
      </c>
      <c r="R33" s="24">
        <v>50.302424366264603</v>
      </c>
      <c r="S33" s="24">
        <v>85.758465372899479</v>
      </c>
      <c r="T33" s="24">
        <v>61.275615616972551</v>
      </c>
      <c r="U33" s="24">
        <v>2.4943674750739122</v>
      </c>
      <c r="V33" s="24">
        <v>362.71824387258948</v>
      </c>
      <c r="W33" s="24">
        <v>7.0872939653109563</v>
      </c>
      <c r="X33" s="24">
        <v>5.6448180722378334</v>
      </c>
      <c r="Y33" s="24">
        <v>6.9675987317178469</v>
      </c>
      <c r="Z33" s="24">
        <v>8.4423807935084803</v>
      </c>
      <c r="AA33" s="24">
        <v>6.0575917191500002E-4</v>
      </c>
      <c r="AB33" s="24">
        <v>1.107352996180198</v>
      </c>
      <c r="AC33" s="24">
        <v>4.8910147273332374</v>
      </c>
      <c r="AD33" s="24">
        <v>6.6105949730469806</v>
      </c>
      <c r="AE33" s="24">
        <v>4.5</v>
      </c>
      <c r="AF33" s="24">
        <v>0.17650003140438311</v>
      </c>
      <c r="AG33" s="24">
        <v>2.7494616728936001E-2</v>
      </c>
      <c r="AH33" s="24">
        <v>86.478098810136004</v>
      </c>
      <c r="AI33" s="24">
        <v>71.834333000920822</v>
      </c>
      <c r="AJ33" s="24">
        <v>0.72697442060133399</v>
      </c>
      <c r="AK33" s="24">
        <v>1.6170453451554101</v>
      </c>
      <c r="AL33" s="24">
        <v>5.9746530924237273</v>
      </c>
      <c r="AM33" s="24">
        <v>46.854970405267217</v>
      </c>
      <c r="AN33" s="24">
        <v>57.353148031149807</v>
      </c>
      <c r="AO33" s="24">
        <v>81.892406743095947</v>
      </c>
      <c r="AP33" s="24">
        <v>46.854970405267217</v>
      </c>
      <c r="AQ33" s="24">
        <v>42.538202233240298</v>
      </c>
      <c r="AR33" s="24">
        <v>0.62390390117620131</v>
      </c>
      <c r="AS33" s="24">
        <v>9.9829234603162806</v>
      </c>
      <c r="AT33" s="24">
        <v>95.752329503386122</v>
      </c>
      <c r="AU33" s="24">
        <v>2.8514203930127811</v>
      </c>
      <c r="AV33" s="24">
        <v>9.0335677455268382</v>
      </c>
      <c r="AW33" s="24">
        <v>11.4051382825159</v>
      </c>
      <c r="AX33" s="24">
        <v>5.4431350876480664</v>
      </c>
      <c r="AY33" s="24">
        <v>4.4710462953084429</v>
      </c>
      <c r="AZ33" s="24">
        <v>8.1392486204523085</v>
      </c>
      <c r="BA33" s="24">
        <v>87.631177090246865</v>
      </c>
      <c r="BB33" s="24">
        <v>119.5907279077318</v>
      </c>
      <c r="BC33" s="24">
        <v>7.1295272177661646</v>
      </c>
      <c r="BD33" s="24">
        <v>13.370814666217459</v>
      </c>
      <c r="BE33" s="24">
        <v>30.167071397524619</v>
      </c>
      <c r="BF33" s="24">
        <v>44.375230342194627</v>
      </c>
      <c r="BG33" s="24">
        <v>58.002091530048617</v>
      </c>
      <c r="BH33" s="24">
        <v>85.876190000000008</v>
      </c>
      <c r="BI33" s="24">
        <v>64.775981939359511</v>
      </c>
      <c r="BJ33" s="24">
        <v>2.5947874894568068</v>
      </c>
      <c r="BK33" s="24">
        <v>7.1274783180531616</v>
      </c>
      <c r="BL33" s="24">
        <v>5.669544498016406</v>
      </c>
      <c r="BM33" s="24">
        <v>6.9955144402645413</v>
      </c>
      <c r="BN33" s="24">
        <v>8.5772217476696309</v>
      </c>
      <c r="BO33" s="24">
        <v>0.9604674095866812</v>
      </c>
      <c r="BP33" s="24">
        <v>7.1295272177661637</v>
      </c>
      <c r="BQ33" s="24">
        <v>48.781055928376652</v>
      </c>
      <c r="BR33" s="24">
        <v>66.570159168887471</v>
      </c>
      <c r="BS33" s="24">
        <v>67.340472209686624</v>
      </c>
      <c r="BT33" s="24">
        <v>95.206198114640486</v>
      </c>
      <c r="BU33" s="24">
        <v>80.547913223366592</v>
      </c>
      <c r="BV33" s="24">
        <v>3.924029771360293</v>
      </c>
      <c r="BW33" s="24">
        <v>352.02070524964728</v>
      </c>
      <c r="BX33" s="24">
        <v>7.3092138647259892</v>
      </c>
      <c r="BY33" s="24">
        <v>5.7575139781666982</v>
      </c>
      <c r="BZ33" s="24">
        <v>7.1609779121676587</v>
      </c>
      <c r="CA33" s="24">
        <v>8.8726425947286778</v>
      </c>
      <c r="CB33" s="24">
        <v>1.2983183599729999E-4</v>
      </c>
      <c r="CC33" s="24">
        <v>0.68940921652143938</v>
      </c>
      <c r="CD33" s="24">
        <v>2.571720130495148</v>
      </c>
      <c r="CE33" s="24">
        <v>9.4764216864967405</v>
      </c>
      <c r="CF33" s="24">
        <v>343.94751831713683</v>
      </c>
      <c r="CG33" s="24">
        <v>345.30165112965051</v>
      </c>
      <c r="CH33" s="24">
        <v>348.33668816426518</v>
      </c>
      <c r="CI33" s="24">
        <v>344.85208788964309</v>
      </c>
      <c r="CJ33" s="24">
        <v>345.22707357184612</v>
      </c>
      <c r="CK33" s="24">
        <v>345.30165112965051</v>
      </c>
      <c r="CL33" s="24">
        <v>345.60612555448682</v>
      </c>
      <c r="CM33" s="24">
        <v>346.2837889814017</v>
      </c>
      <c r="CN33" s="24">
        <v>347.02179620897368</v>
      </c>
      <c r="CO33" s="24">
        <v>347.87448135728391</v>
      </c>
      <c r="CP33" s="24">
        <v>348.26024454221329</v>
      </c>
      <c r="CQ33" s="24">
        <v>348.91790322101662</v>
      </c>
      <c r="CR33" s="24">
        <v>350.3264562863543</v>
      </c>
      <c r="CS33" s="24">
        <v>352.56060004746132</v>
      </c>
      <c r="CT33" s="24">
        <v>353.98664497994429</v>
      </c>
      <c r="CU33" s="24">
        <v>357.38242383567439</v>
      </c>
      <c r="CV33" s="24">
        <v>372.00536783432977</v>
      </c>
      <c r="CW33" s="24">
        <v>402.82030121342939</v>
      </c>
      <c r="CX33" s="24">
        <v>408.13609392365061</v>
      </c>
      <c r="CY33" s="24">
        <v>7.2797666756918664</v>
      </c>
      <c r="CZ33" s="24">
        <v>7.3830490745591977</v>
      </c>
      <c r="DA33" s="24">
        <v>7.4111695538453066</v>
      </c>
      <c r="DB33" s="24">
        <v>7.5594047278465721</v>
      </c>
      <c r="DC33" s="24">
        <v>7.9263799622135211</v>
      </c>
      <c r="DD33" s="24">
        <v>8.4315239625742535</v>
      </c>
      <c r="DE33" s="24">
        <v>9.1735181432938937</v>
      </c>
      <c r="DF33" s="24">
        <v>9.5745386126260108</v>
      </c>
      <c r="DG33" s="24">
        <v>10.345944368707359</v>
      </c>
      <c r="DH33" s="24">
        <v>12.414944074054871</v>
      </c>
      <c r="DI33" s="24">
        <v>16.599750228217871</v>
      </c>
      <c r="DJ33" s="24">
        <v>19.568379482802399</v>
      </c>
      <c r="DK33" s="24">
        <v>26.677797547554931</v>
      </c>
      <c r="DL33" s="24">
        <v>44.703138228730133</v>
      </c>
      <c r="DM33" s="24">
        <v>62.319675589355718</v>
      </c>
      <c r="DN33" s="24">
        <v>66.426380698557736</v>
      </c>
      <c r="DO33" s="24">
        <v>901.81415377176324</v>
      </c>
    </row>
    <row r="34" spans="1:119" x14ac:dyDescent="0.3">
      <c r="A34" s="24" t="s">
        <v>390</v>
      </c>
      <c r="B34" s="24" t="s">
        <v>428</v>
      </c>
      <c r="C34" s="24" t="s">
        <v>429</v>
      </c>
      <c r="D34" s="24">
        <v>6.0000000000000001E-3</v>
      </c>
      <c r="E34" s="24">
        <v>8.0000000000000007E-5</v>
      </c>
      <c r="F34" s="24">
        <v>2.9415000000000001E-3</v>
      </c>
      <c r="G34" s="24">
        <v>8.75</v>
      </c>
      <c r="H34" s="24">
        <v>7.4999999999999997E-2</v>
      </c>
      <c r="I34" s="24">
        <v>2.67</v>
      </c>
      <c r="J34" s="24">
        <v>293.14999999999998</v>
      </c>
      <c r="K34" s="24">
        <v>414.851</v>
      </c>
      <c r="L34" s="24">
        <v>80</v>
      </c>
      <c r="M34" s="24">
        <v>0.3</v>
      </c>
      <c r="N34" s="24">
        <v>0.21039687057204251</v>
      </c>
      <c r="O34" s="24">
        <v>3.2524001841097099E-2</v>
      </c>
      <c r="P34" s="24">
        <v>30.07461213465081</v>
      </c>
      <c r="Q34" s="24">
        <v>41.520065735283843</v>
      </c>
      <c r="R34" s="24">
        <v>50.350400150665088</v>
      </c>
      <c r="S34" s="24">
        <v>85.761291765492416</v>
      </c>
      <c r="T34" s="24">
        <v>61.489597561755048</v>
      </c>
      <c r="U34" s="24">
        <v>2.5005861542546981</v>
      </c>
      <c r="V34" s="24">
        <v>357.67554169186479</v>
      </c>
      <c r="W34" s="24">
        <v>7.0841725793136199</v>
      </c>
      <c r="X34" s="24">
        <v>5.6246551802906186</v>
      </c>
      <c r="Y34" s="24">
        <v>6.9694390625180302</v>
      </c>
      <c r="Z34" s="24">
        <v>8.4553946599436234</v>
      </c>
      <c r="AA34" s="24">
        <v>7.3111786222620004E-4</v>
      </c>
      <c r="AB34" s="24">
        <v>1.1059828613915399</v>
      </c>
      <c r="AC34" s="24">
        <v>1.759410696654454</v>
      </c>
      <c r="AD34" s="24">
        <v>8.1552317082199597</v>
      </c>
      <c r="AE34" s="24">
        <v>4.5</v>
      </c>
      <c r="AF34" s="24">
        <v>0.17149079592735811</v>
      </c>
      <c r="AG34" s="24">
        <v>3.1499511665688498E-2</v>
      </c>
      <c r="AH34" s="24">
        <v>92.949453041952765</v>
      </c>
      <c r="AI34" s="24">
        <v>86.583036996622056</v>
      </c>
      <c r="AJ34" s="24">
        <v>0.52277310278741052</v>
      </c>
      <c r="AK34" s="24">
        <v>1.386590898071183</v>
      </c>
      <c r="AL34" s="24">
        <v>7.1047282956815598</v>
      </c>
      <c r="AM34" s="24">
        <v>54.259632869653522</v>
      </c>
      <c r="AN34" s="24">
        <v>63.828841642692048</v>
      </c>
      <c r="AO34" s="24">
        <v>82.279870860164493</v>
      </c>
      <c r="AP34" s="24">
        <v>54.259632869653522</v>
      </c>
      <c r="AQ34" s="24">
        <v>36.134725093588337</v>
      </c>
      <c r="AR34" s="24">
        <v>0.66630892445675705</v>
      </c>
      <c r="AS34" s="24">
        <v>8.9393331123013766</v>
      </c>
      <c r="AT34" s="24">
        <v>71.823609529305244</v>
      </c>
      <c r="AU34" s="24">
        <v>3.4829073469929428</v>
      </c>
      <c r="AV34" s="24">
        <v>9.2299199761431403</v>
      </c>
      <c r="AW34" s="24">
        <v>9.5402227517775646</v>
      </c>
      <c r="AX34" s="24">
        <v>4.6768448463134016</v>
      </c>
      <c r="AY34" s="24">
        <v>1.56277830979375</v>
      </c>
      <c r="AZ34" s="24">
        <v>4.0277031120465052</v>
      </c>
      <c r="BA34" s="24">
        <v>82.361930189972512</v>
      </c>
      <c r="BB34" s="24">
        <v>119.3169769444761</v>
      </c>
      <c r="BC34" s="24">
        <v>8.7882713060745434</v>
      </c>
      <c r="BD34" s="24">
        <v>16.154862027840078</v>
      </c>
      <c r="BE34" s="24">
        <v>30.160287593356351</v>
      </c>
      <c r="BF34" s="24">
        <v>44.444192787168177</v>
      </c>
      <c r="BG34" s="24">
        <v>57.982251328420787</v>
      </c>
      <c r="BH34" s="24">
        <v>85.883638980026618</v>
      </c>
      <c r="BI34" s="24">
        <v>64.87869313790884</v>
      </c>
      <c r="BJ34" s="24">
        <v>2.598004886768539</v>
      </c>
      <c r="BK34" s="24">
        <v>7.101059971272746</v>
      </c>
      <c r="BL34" s="24">
        <v>5.6486602645104442</v>
      </c>
      <c r="BM34" s="24">
        <v>6.98619259132444</v>
      </c>
      <c r="BN34" s="24">
        <v>8.5181743995015644</v>
      </c>
      <c r="BO34" s="24">
        <v>0.96104152753649119</v>
      </c>
      <c r="BP34" s="24">
        <v>8.7882713060745452</v>
      </c>
      <c r="BQ34" s="24">
        <v>48.627559481161413</v>
      </c>
      <c r="BR34" s="24">
        <v>66.040188247097106</v>
      </c>
      <c r="BS34" s="24">
        <v>67.334779425835265</v>
      </c>
      <c r="BT34" s="24">
        <v>95.252694889992284</v>
      </c>
      <c r="BU34" s="24">
        <v>80.387665690966799</v>
      </c>
      <c r="BV34" s="24">
        <v>3.7692770028358491</v>
      </c>
      <c r="BW34" s="24">
        <v>345.46563348623869</v>
      </c>
      <c r="BX34" s="24">
        <v>7.179473193806106</v>
      </c>
      <c r="BY34" s="24">
        <v>5.6890243679601262</v>
      </c>
      <c r="BZ34" s="24">
        <v>7.0701628623944517</v>
      </c>
      <c r="CA34" s="24">
        <v>8.8245077009485637</v>
      </c>
      <c r="CB34" s="24">
        <v>1.5133203529120001E-4</v>
      </c>
      <c r="CC34" s="24">
        <v>0.69243763485087717</v>
      </c>
      <c r="CD34" s="24">
        <v>0.64975520086764393</v>
      </c>
      <c r="CE34" s="24">
        <v>11.72766390021504</v>
      </c>
      <c r="CF34" s="24">
        <v>337.17066143242732</v>
      </c>
      <c r="CG34" s="24">
        <v>338.37133790324538</v>
      </c>
      <c r="CH34" s="24">
        <v>341.06662329955111</v>
      </c>
      <c r="CI34" s="24">
        <v>337.96335270964869</v>
      </c>
      <c r="CJ34" s="24">
        <v>338.30079063502689</v>
      </c>
      <c r="CK34" s="24">
        <v>338.37133790324538</v>
      </c>
      <c r="CL34" s="24">
        <v>338.65433011232562</v>
      </c>
      <c r="CM34" s="24">
        <v>339.28822125716641</v>
      </c>
      <c r="CN34" s="24">
        <v>339.99266962497848</v>
      </c>
      <c r="CO34" s="24">
        <v>340.82754529984982</v>
      </c>
      <c r="CP34" s="24">
        <v>341.21756277794913</v>
      </c>
      <c r="CQ34" s="24">
        <v>341.89408381766958</v>
      </c>
      <c r="CR34" s="24">
        <v>343.40380214386812</v>
      </c>
      <c r="CS34" s="24">
        <v>345.93943392231643</v>
      </c>
      <c r="CT34" s="24">
        <v>347.59720934770797</v>
      </c>
      <c r="CU34" s="24">
        <v>351.52753926761449</v>
      </c>
      <c r="CV34" s="24">
        <v>368.34674319076902</v>
      </c>
      <c r="CW34" s="24">
        <v>404.59115504747041</v>
      </c>
      <c r="CX34" s="24">
        <v>410.41176679809439</v>
      </c>
      <c r="CY34" s="24">
        <v>8.9541687941647226</v>
      </c>
      <c r="CZ34" s="24">
        <v>9.0702813944592595</v>
      </c>
      <c r="DA34" s="24">
        <v>9.1018971677007361</v>
      </c>
      <c r="DB34" s="24">
        <v>9.2683205103052355</v>
      </c>
      <c r="DC34" s="24">
        <v>9.67787337083751</v>
      </c>
      <c r="DD34" s="24">
        <v>10.241714386814349</v>
      </c>
      <c r="DE34" s="24">
        <v>11.065361007535611</v>
      </c>
      <c r="DF34" s="24">
        <v>11.50812768997308</v>
      </c>
      <c r="DG34" s="24">
        <v>12.35460711117085</v>
      </c>
      <c r="DH34" s="24">
        <v>14.58055377873451</v>
      </c>
      <c r="DI34" s="24">
        <v>18.939996268959341</v>
      </c>
      <c r="DJ34" s="24">
        <v>21.914694560456901</v>
      </c>
      <c r="DK34" s="24">
        <v>28.79066832709557</v>
      </c>
      <c r="DL34" s="24">
        <v>46.08273622494049</v>
      </c>
      <c r="DM34" s="24">
        <v>62.67729120218636</v>
      </c>
      <c r="DN34" s="24">
        <v>66.585997037697624</v>
      </c>
      <c r="DO34" s="24">
        <v>825.09329266628322</v>
      </c>
    </row>
    <row r="35" spans="1:119" x14ac:dyDescent="0.3">
      <c r="A35" s="24" t="s">
        <v>396</v>
      </c>
      <c r="B35" s="24" t="s">
        <v>428</v>
      </c>
      <c r="C35" s="24" t="s">
        <v>429</v>
      </c>
      <c r="D35" s="24">
        <v>6.0000000000000001E-3</v>
      </c>
      <c r="E35" s="24">
        <v>7.0401700000000001E-5</v>
      </c>
      <c r="F35" s="24">
        <v>2.1938700000000001E-3</v>
      </c>
      <c r="G35" s="24">
        <v>8.75</v>
      </c>
      <c r="H35" s="24">
        <v>7.4999999999999997E-2</v>
      </c>
      <c r="I35" s="24">
        <v>2.8166600000000002</v>
      </c>
      <c r="J35" s="24">
        <v>293.14999999999998</v>
      </c>
      <c r="K35" s="24">
        <v>418.27699999999999</v>
      </c>
      <c r="L35" s="24">
        <v>80</v>
      </c>
      <c r="M35" s="24">
        <v>0.3</v>
      </c>
      <c r="N35" s="24">
        <v>8.5836829002986004E-2</v>
      </c>
      <c r="O35" s="24">
        <v>2.61561524292101E-2</v>
      </c>
      <c r="P35" s="24">
        <v>23.559752730469079</v>
      </c>
      <c r="Q35" s="24">
        <v>38.273083124388243</v>
      </c>
      <c r="R35" s="24">
        <v>43.790190126870442</v>
      </c>
      <c r="S35" s="24">
        <v>71.488450533393035</v>
      </c>
      <c r="T35" s="24">
        <v>54.757003120847273</v>
      </c>
      <c r="U35" s="24">
        <v>2.6091615030221398</v>
      </c>
      <c r="V35" s="24">
        <v>372.64851771527668</v>
      </c>
      <c r="W35" s="24">
        <v>7.3165439724637444</v>
      </c>
      <c r="X35" s="24">
        <v>6.0248205963500574</v>
      </c>
      <c r="Y35" s="24">
        <v>7.1009732553876797</v>
      </c>
      <c r="Z35" s="24">
        <v>8.629324392237967</v>
      </c>
      <c r="AA35" s="24">
        <v>5.7022802073490001E-4</v>
      </c>
      <c r="AB35" s="24">
        <v>1.0945076434713641</v>
      </c>
      <c r="AC35" s="24">
        <v>6.5382709886888257</v>
      </c>
      <c r="AD35" s="24">
        <v>4.4883606177199473</v>
      </c>
      <c r="AE35" s="24">
        <v>4</v>
      </c>
      <c r="AF35" s="24">
        <v>0.1336040552178645</v>
      </c>
      <c r="AG35" s="24">
        <v>2.5489446579149599E-2</v>
      </c>
      <c r="AH35" s="24">
        <v>57.460897631963249</v>
      </c>
      <c r="AI35" s="24">
        <v>37.347318540474859</v>
      </c>
      <c r="AJ35" s="24">
        <v>1.2799835030573361</v>
      </c>
      <c r="AK35" s="24">
        <v>2.6388429888364322</v>
      </c>
      <c r="AL35" s="24">
        <v>5.4091797633626042</v>
      </c>
      <c r="AM35" s="24">
        <v>40.659464620187428</v>
      </c>
      <c r="AN35" s="24">
        <v>51.931428768206843</v>
      </c>
      <c r="AO35" s="24">
        <v>86.395081611619688</v>
      </c>
      <c r="AP35" s="24">
        <v>40.659464620187428</v>
      </c>
      <c r="AQ35" s="24">
        <v>47.949576344616339</v>
      </c>
      <c r="AR35" s="24">
        <v>0.61372971053316494</v>
      </c>
      <c r="AS35" s="24">
        <v>10.777229324663059</v>
      </c>
      <c r="AT35" s="24">
        <v>99.991414957683958</v>
      </c>
      <c r="AU35" s="24">
        <v>2.4877442844980289</v>
      </c>
      <c r="AV35" s="24">
        <v>9.4897510854870752</v>
      </c>
      <c r="AW35" s="24">
        <v>13.73256251481925</v>
      </c>
      <c r="AX35" s="24">
        <v>6.3157642012836446</v>
      </c>
      <c r="AY35" s="24">
        <v>6.3385693258315703</v>
      </c>
      <c r="AZ35" s="24">
        <v>8.8049388081187541</v>
      </c>
      <c r="BA35" s="24">
        <v>98.305822114356843</v>
      </c>
      <c r="BB35" s="24">
        <v>127.43205598537649</v>
      </c>
      <c r="BC35" s="24">
        <v>4.7579120263927264</v>
      </c>
      <c r="BD35" s="24">
        <v>8.7524663086337746</v>
      </c>
      <c r="BE35" s="24">
        <v>23.645258246513311</v>
      </c>
      <c r="BF35" s="24">
        <v>40.235059199925942</v>
      </c>
      <c r="BG35" s="24">
        <v>52.065131701445267</v>
      </c>
      <c r="BH35" s="24">
        <v>73.619205614376867</v>
      </c>
      <c r="BI35" s="24">
        <v>57.019903932824647</v>
      </c>
      <c r="BJ35" s="24">
        <v>2.6540146492313892</v>
      </c>
      <c r="BK35" s="24">
        <v>7.3843539867403951</v>
      </c>
      <c r="BL35" s="24">
        <v>6.0470661802988888</v>
      </c>
      <c r="BM35" s="24">
        <v>7.1643510369795864</v>
      </c>
      <c r="BN35" s="24">
        <v>8.7943601001005831</v>
      </c>
      <c r="BO35" s="24">
        <v>0.95983522435757762</v>
      </c>
      <c r="BP35" s="24">
        <v>4.7579120263927273</v>
      </c>
      <c r="BQ35" s="24">
        <v>42.65554390481762</v>
      </c>
      <c r="BR35" s="24">
        <v>59.654488532791213</v>
      </c>
      <c r="BS35" s="24">
        <v>63.674510042881579</v>
      </c>
      <c r="BT35" s="24">
        <v>90.588546146120677</v>
      </c>
      <c r="BU35" s="24">
        <v>70.963160183815972</v>
      </c>
      <c r="BV35" s="24">
        <v>4.1608631959601956</v>
      </c>
      <c r="BW35" s="24">
        <v>363.88186754603669</v>
      </c>
      <c r="BX35" s="24">
        <v>7.8149667659041286</v>
      </c>
      <c r="BY35" s="24">
        <v>6.3074634436111179</v>
      </c>
      <c r="BZ35" s="24">
        <v>7.5149519510764442</v>
      </c>
      <c r="CA35" s="24">
        <v>9.5924591219065523</v>
      </c>
      <c r="CB35" s="24">
        <v>8.7932978481564448E-5</v>
      </c>
      <c r="CC35" s="24">
        <v>0.75278164227761768</v>
      </c>
      <c r="CD35" s="24">
        <v>5.070407256203552</v>
      </c>
      <c r="CE35" s="24">
        <v>6.4696397476484098</v>
      </c>
      <c r="CF35" s="24">
        <v>353.29676112520582</v>
      </c>
      <c r="CG35" s="24">
        <v>354.8751002814663</v>
      </c>
      <c r="CH35" s="24">
        <v>358.40861353932792</v>
      </c>
      <c r="CI35" s="24">
        <v>354.35823224096117</v>
      </c>
      <c r="CJ35" s="24">
        <v>354.79062658807749</v>
      </c>
      <c r="CK35" s="24">
        <v>354.8751002814663</v>
      </c>
      <c r="CL35" s="24">
        <v>355.21405767892418</v>
      </c>
      <c r="CM35" s="24">
        <v>355.96152484593989</v>
      </c>
      <c r="CN35" s="24">
        <v>356.75306381225261</v>
      </c>
      <c r="CO35" s="24">
        <v>357.63532614726091</v>
      </c>
      <c r="CP35" s="24">
        <v>358.02080260518881</v>
      </c>
      <c r="CQ35" s="24">
        <v>358.65131458778961</v>
      </c>
      <c r="CR35" s="24">
        <v>359.88266028646291</v>
      </c>
      <c r="CS35" s="24">
        <v>361.5636463331827</v>
      </c>
      <c r="CT35" s="24">
        <v>362.53430146314838</v>
      </c>
      <c r="CU35" s="24">
        <v>364.93851445457739</v>
      </c>
      <c r="CV35" s="24">
        <v>377.97699631010971</v>
      </c>
      <c r="CW35" s="24">
        <v>408.27442027404658</v>
      </c>
      <c r="CX35" s="24">
        <v>413.90914218660248</v>
      </c>
      <c r="CY35" s="24">
        <v>4.8415779271829562</v>
      </c>
      <c r="CZ35" s="24">
        <v>4.9060873749085792</v>
      </c>
      <c r="DA35" s="24">
        <v>4.9235292257430032</v>
      </c>
      <c r="DB35" s="24">
        <v>5.0157544898846984</v>
      </c>
      <c r="DC35" s="24">
        <v>5.2448210692086574</v>
      </c>
      <c r="DD35" s="24">
        <v>5.5588311753401642</v>
      </c>
      <c r="DE35" s="24">
        <v>6.011878065607541</v>
      </c>
      <c r="DF35" s="24">
        <v>6.2563719539737539</v>
      </c>
      <c r="DG35" s="24">
        <v>6.7262913674239089</v>
      </c>
      <c r="DH35" s="24">
        <v>7.9876442169562676</v>
      </c>
      <c r="DI35" s="24">
        <v>10.696886206344489</v>
      </c>
      <c r="DJ35" s="24">
        <v>12.80718493473344</v>
      </c>
      <c r="DK35" s="24">
        <v>18.624056277158619</v>
      </c>
      <c r="DL35" s="24">
        <v>37.786675628023652</v>
      </c>
      <c r="DM35" s="24">
        <v>60.195507329916467</v>
      </c>
      <c r="DN35" s="24">
        <v>65.477860953930346</v>
      </c>
      <c r="DO35" s="24">
        <v>1022.732236822644</v>
      </c>
    </row>
    <row r="36" spans="1:119" x14ac:dyDescent="0.3">
      <c r="A36" s="24" t="s">
        <v>375</v>
      </c>
      <c r="B36" s="24" t="s">
        <v>428</v>
      </c>
      <c r="C36" s="24" t="s">
        <v>429</v>
      </c>
      <c r="D36" s="24">
        <v>6.0000000000000001E-3</v>
      </c>
      <c r="E36" s="24">
        <v>6.7286799999999994E-5</v>
      </c>
      <c r="F36" s="24">
        <v>2.12021E-3</v>
      </c>
      <c r="G36" s="24">
        <v>8.75</v>
      </c>
      <c r="H36" s="24">
        <v>7.4999999999999997E-2</v>
      </c>
      <c r="I36" s="24">
        <v>2.8642599999999998</v>
      </c>
      <c r="J36" s="24">
        <v>293.14999999999998</v>
      </c>
      <c r="K36" s="24">
        <v>405.95</v>
      </c>
      <c r="L36" s="24">
        <v>80</v>
      </c>
      <c r="M36" s="24">
        <v>0.3</v>
      </c>
      <c r="N36" s="24">
        <v>0.1177774759948597</v>
      </c>
      <c r="O36" s="24">
        <v>2.5397759898615001E-2</v>
      </c>
      <c r="P36" s="24">
        <v>23.630131143412779</v>
      </c>
      <c r="Q36" s="24">
        <v>36.880961374000883</v>
      </c>
      <c r="R36" s="24">
        <v>43.402299846409882</v>
      </c>
      <c r="S36" s="24">
        <v>72.685339769375275</v>
      </c>
      <c r="T36" s="24">
        <v>52.40917904858167</v>
      </c>
      <c r="U36" s="24">
        <v>2.6355209289202199</v>
      </c>
      <c r="V36" s="24">
        <v>362.58167191119918</v>
      </c>
      <c r="W36" s="24">
        <v>7.3583168757841406</v>
      </c>
      <c r="X36" s="24">
        <v>6.1092345286804166</v>
      </c>
      <c r="Y36" s="24">
        <v>7.1245445164841792</v>
      </c>
      <c r="Z36" s="24">
        <v>8.6821683844624413</v>
      </c>
      <c r="AA36" s="24">
        <v>5.592327366693E-4</v>
      </c>
      <c r="AB36" s="24">
        <v>1.1302444524727231</v>
      </c>
      <c r="AC36" s="24">
        <v>5.6214568894901253</v>
      </c>
      <c r="AD36" s="24">
        <v>5.3324663192187733</v>
      </c>
      <c r="AE36" s="24">
        <v>4</v>
      </c>
      <c r="AF36" s="24">
        <v>0.12079026896297949</v>
      </c>
      <c r="AG36" s="24">
        <v>2.4768690640718901E-2</v>
      </c>
      <c r="AH36" s="24">
        <v>76.903482250831175</v>
      </c>
      <c r="AI36" s="24">
        <v>53.684230498717703</v>
      </c>
      <c r="AJ36" s="24">
        <v>0.71511380370669064</v>
      </c>
      <c r="AK36" s="24">
        <v>1.346139798480805</v>
      </c>
      <c r="AL36" s="24">
        <v>5.2063492956371782</v>
      </c>
      <c r="AM36" s="24">
        <v>43.148116133298643</v>
      </c>
      <c r="AN36" s="24">
        <v>54.027211157358593</v>
      </c>
      <c r="AO36" s="24">
        <v>87.692832925432768</v>
      </c>
      <c r="AP36" s="24">
        <v>43.148116133298643</v>
      </c>
      <c r="AQ36" s="24">
        <v>45.830968949755913</v>
      </c>
      <c r="AR36" s="24">
        <v>0.58316453598585305</v>
      </c>
      <c r="AS36" s="24">
        <v>10.43775038095959</v>
      </c>
      <c r="AT36" s="24">
        <v>99.061552698321677</v>
      </c>
      <c r="AU36" s="24">
        <v>2.425101706023375</v>
      </c>
      <c r="AV36" s="24">
        <v>8.5548596421471164</v>
      </c>
      <c r="AW36" s="24">
        <v>12.69946519572188</v>
      </c>
      <c r="AX36" s="24">
        <v>5.9153723584273017</v>
      </c>
      <c r="AY36" s="24">
        <v>5.3147733905333006</v>
      </c>
      <c r="AZ36" s="24">
        <v>8.4482322970514918</v>
      </c>
      <c r="BA36" s="24">
        <v>88.447635901724084</v>
      </c>
      <c r="BB36" s="24">
        <v>116.2462717767483</v>
      </c>
      <c r="BC36" s="24">
        <v>5.5781126905888083</v>
      </c>
      <c r="BD36" s="24">
        <v>9.5245343760421495</v>
      </c>
      <c r="BE36" s="24">
        <v>23.651533360365029</v>
      </c>
      <c r="BF36" s="24">
        <v>38.479118598019951</v>
      </c>
      <c r="BG36" s="24">
        <v>44.634618872484623</v>
      </c>
      <c r="BH36" s="24">
        <v>72.755324839735593</v>
      </c>
      <c r="BI36" s="24">
        <v>54.102516006460093</v>
      </c>
      <c r="BJ36" s="24">
        <v>2.6842949065761048</v>
      </c>
      <c r="BK36" s="24">
        <v>7.4348991599164282</v>
      </c>
      <c r="BL36" s="24">
        <v>6.145691340246942</v>
      </c>
      <c r="BM36" s="24">
        <v>7.1974217888970884</v>
      </c>
      <c r="BN36" s="24">
        <v>8.7964611036645071</v>
      </c>
      <c r="BO36" s="24">
        <v>1.1001279437302649</v>
      </c>
      <c r="BP36" s="24">
        <v>5.5781126905888083</v>
      </c>
      <c r="BQ36" s="24">
        <v>43.172972385095399</v>
      </c>
      <c r="BR36" s="24">
        <v>55.666927944825737</v>
      </c>
      <c r="BS36" s="24">
        <v>62.856903979185432</v>
      </c>
      <c r="BT36" s="24">
        <v>82.504566830821332</v>
      </c>
      <c r="BU36" s="24">
        <v>66.530016384851891</v>
      </c>
      <c r="BV36" s="24">
        <v>4.0179672316669013</v>
      </c>
      <c r="BW36" s="24">
        <v>354.5860381190102</v>
      </c>
      <c r="BX36" s="24">
        <v>7.9805744893217412</v>
      </c>
      <c r="BY36" s="24">
        <v>6.4191393291333956</v>
      </c>
      <c r="BZ36" s="24">
        <v>7.7995457145878584</v>
      </c>
      <c r="CA36" s="24">
        <v>9.4743408374946796</v>
      </c>
      <c r="CB36" s="24">
        <v>7.6830215010836739E-5</v>
      </c>
      <c r="CC36" s="24">
        <v>0.62573228962645511</v>
      </c>
      <c r="CD36" s="24">
        <v>3.1295471177394392</v>
      </c>
      <c r="CE36" s="24">
        <v>7.3284282646583829</v>
      </c>
      <c r="CF36" s="24">
        <v>345.00730581449949</v>
      </c>
      <c r="CG36" s="24">
        <v>346.37722696348243</v>
      </c>
      <c r="CH36" s="24">
        <v>349.41447651985078</v>
      </c>
      <c r="CI36" s="24">
        <v>345.92985385886681</v>
      </c>
      <c r="CJ36" s="24">
        <v>346.30415578920929</v>
      </c>
      <c r="CK36" s="24">
        <v>346.37722696348243</v>
      </c>
      <c r="CL36" s="24">
        <v>346.67550032672312</v>
      </c>
      <c r="CM36" s="24">
        <v>347.32936742199871</v>
      </c>
      <c r="CN36" s="24">
        <v>348.0262235676642</v>
      </c>
      <c r="CO36" s="24">
        <v>348.80190674673707</v>
      </c>
      <c r="CP36" s="24">
        <v>349.14317180917521</v>
      </c>
      <c r="CQ36" s="24">
        <v>349.69973854476211</v>
      </c>
      <c r="CR36" s="24">
        <v>350.79870204791098</v>
      </c>
      <c r="CS36" s="24">
        <v>352.30453965360999</v>
      </c>
      <c r="CT36" s="24">
        <v>353.19027489009193</v>
      </c>
      <c r="CU36" s="24">
        <v>355.37364094627839</v>
      </c>
      <c r="CV36" s="24">
        <v>367.7626606035239</v>
      </c>
      <c r="CW36" s="24">
        <v>396.70319980786502</v>
      </c>
      <c r="CX36" s="24">
        <v>401.95260034829289</v>
      </c>
      <c r="CY36" s="24">
        <v>5.6634291958001581</v>
      </c>
      <c r="CZ36" s="24">
        <v>5.7286091855301171</v>
      </c>
      <c r="DA36" s="24">
        <v>5.746342803667841</v>
      </c>
      <c r="DB36" s="24">
        <v>5.8397107341419039</v>
      </c>
      <c r="DC36" s="24">
        <v>6.0704233768564784</v>
      </c>
      <c r="DD36" s="24">
        <v>6.3846715788840251</v>
      </c>
      <c r="DE36" s="24">
        <v>6.839204228119959</v>
      </c>
      <c r="DF36" s="24">
        <v>7.0839131967499318</v>
      </c>
      <c r="DG36" s="24">
        <v>7.555349469990241</v>
      </c>
      <c r="DH36" s="24">
        <v>8.8149893264341408</v>
      </c>
      <c r="DI36" s="24">
        <v>11.51580280281784</v>
      </c>
      <c r="DJ36" s="24">
        <v>13.59893259621912</v>
      </c>
      <c r="DK36" s="24">
        <v>19.3580216485582</v>
      </c>
      <c r="DL36" s="24">
        <v>37.391023189919252</v>
      </c>
      <c r="DM36" s="24">
        <v>60.403784995950453</v>
      </c>
      <c r="DN36" s="24">
        <v>65.568445822028394</v>
      </c>
      <c r="DO36" s="24">
        <v>892.93489488876878</v>
      </c>
    </row>
    <row r="37" spans="1:119" x14ac:dyDescent="0.3">
      <c r="A37" s="24" t="s">
        <v>380</v>
      </c>
      <c r="B37" s="24" t="s">
        <v>428</v>
      </c>
      <c r="C37" s="24" t="s">
        <v>429</v>
      </c>
      <c r="D37" s="24">
        <v>6.0000000000000001E-3</v>
      </c>
      <c r="E37" s="24">
        <v>8.0000000000000007E-5</v>
      </c>
      <c r="F37" s="24">
        <v>2.72515E-3</v>
      </c>
      <c r="G37" s="24">
        <v>8.75</v>
      </c>
      <c r="H37" s="24">
        <v>7.4999999999999997E-2</v>
      </c>
      <c r="I37" s="24">
        <v>2.67</v>
      </c>
      <c r="J37" s="24">
        <v>293.14999999999998</v>
      </c>
      <c r="K37" s="24">
        <v>409.07799999999997</v>
      </c>
      <c r="L37" s="24">
        <v>80</v>
      </c>
      <c r="M37" s="24">
        <v>0.3</v>
      </c>
      <c r="N37" s="24">
        <v>0.20321528747663919</v>
      </c>
      <c r="O37" s="24">
        <v>3.0564905265253201E-2</v>
      </c>
      <c r="P37" s="24">
        <v>30.094040104100081</v>
      </c>
      <c r="Q37" s="24">
        <v>41.413476235300777</v>
      </c>
      <c r="R37" s="24">
        <v>50.316710409608753</v>
      </c>
      <c r="S37" s="24">
        <v>85.794454734471543</v>
      </c>
      <c r="T37" s="24">
        <v>61.390145256799528</v>
      </c>
      <c r="U37" s="24">
        <v>2.4994561465116858</v>
      </c>
      <c r="V37" s="24">
        <v>355.70280737507971</v>
      </c>
      <c r="W37" s="24">
        <v>7.0591709232952384</v>
      </c>
      <c r="X37" s="24">
        <v>5.6238956376438036</v>
      </c>
      <c r="Y37" s="24">
        <v>6.9581045346717083</v>
      </c>
      <c r="Z37" s="24">
        <v>8.4263012333666083</v>
      </c>
      <c r="AA37" s="24">
        <v>6.7539697378020001E-4</v>
      </c>
      <c r="AB37" s="24">
        <v>1.1069963472758071</v>
      </c>
      <c r="AC37" s="24">
        <v>1.5091675306962249</v>
      </c>
      <c r="AD37" s="24">
        <v>8.128127768938457</v>
      </c>
      <c r="AE37" s="24">
        <v>4.5</v>
      </c>
      <c r="AF37" s="24">
        <v>0.1738718116042102</v>
      </c>
      <c r="AG37" s="24">
        <v>2.9658399106251499E-2</v>
      </c>
      <c r="AH37" s="24">
        <v>93.102019690272982</v>
      </c>
      <c r="AI37" s="24">
        <v>86.641498346067607</v>
      </c>
      <c r="AJ37" s="24">
        <v>0.45881073585122278</v>
      </c>
      <c r="AK37" s="24">
        <v>1.1006295239413211</v>
      </c>
      <c r="AL37" s="24">
        <v>6.5844995748805832</v>
      </c>
      <c r="AM37" s="24">
        <v>52.769625494248352</v>
      </c>
      <c r="AN37" s="24">
        <v>62.493833337539392</v>
      </c>
      <c r="AO37" s="24">
        <v>82.055148030493342</v>
      </c>
      <c r="AP37" s="24">
        <v>52.769625494248352</v>
      </c>
      <c r="AQ37" s="24">
        <v>37.424310082017939</v>
      </c>
      <c r="AR37" s="24">
        <v>0.63815793350698857</v>
      </c>
      <c r="AS37" s="24">
        <v>9.1679064902267182</v>
      </c>
      <c r="AT37" s="24">
        <v>67.781808789282991</v>
      </c>
      <c r="AU37" s="24">
        <v>3.2253229619195478</v>
      </c>
      <c r="AV37" s="24">
        <v>8.7920901471172943</v>
      </c>
      <c r="AW37" s="24">
        <v>9.8134434608014836</v>
      </c>
      <c r="AX37" s="24">
        <v>4.8069749522607097</v>
      </c>
      <c r="AY37" s="24">
        <v>1.3333310655099191</v>
      </c>
      <c r="AZ37" s="24">
        <v>3.5677751265772351</v>
      </c>
      <c r="BA37" s="24">
        <v>80.516561818562366</v>
      </c>
      <c r="BB37" s="24">
        <v>114.6530761013133</v>
      </c>
      <c r="BC37" s="24">
        <v>8.7483010306546323</v>
      </c>
      <c r="BD37" s="24">
        <v>16.064589251932631</v>
      </c>
      <c r="BE37" s="24">
        <v>30.15550320672105</v>
      </c>
      <c r="BF37" s="24">
        <v>44.373340960295522</v>
      </c>
      <c r="BG37" s="24">
        <v>57.978189905836118</v>
      </c>
      <c r="BH37" s="24">
        <v>85.897187638525807</v>
      </c>
      <c r="BI37" s="24">
        <v>64.822582825670835</v>
      </c>
      <c r="BJ37" s="24">
        <v>2.5941323033850532</v>
      </c>
      <c r="BK37" s="24">
        <v>7.0838861104518172</v>
      </c>
      <c r="BL37" s="24">
        <v>5.6337210852152131</v>
      </c>
      <c r="BM37" s="24">
        <v>6.9752606673763609</v>
      </c>
      <c r="BN37" s="24">
        <v>8.4764450049789701</v>
      </c>
      <c r="BO37" s="24">
        <v>0.96142505522052801</v>
      </c>
      <c r="BP37" s="24">
        <v>8.748301030654634</v>
      </c>
      <c r="BQ37" s="24">
        <v>48.677118037594042</v>
      </c>
      <c r="BR37" s="24">
        <v>65.915091240507763</v>
      </c>
      <c r="BS37" s="24">
        <v>67.342268266543414</v>
      </c>
      <c r="BT37" s="24">
        <v>95.208985074462959</v>
      </c>
      <c r="BU37" s="24">
        <v>80.44001487135499</v>
      </c>
      <c r="BV37" s="24">
        <v>3.8245012560411289</v>
      </c>
      <c r="BW37" s="24">
        <v>344.35556661779998</v>
      </c>
      <c r="BX37" s="24">
        <v>7.1968994885605184</v>
      </c>
      <c r="BY37" s="24">
        <v>5.6793982472837072</v>
      </c>
      <c r="BZ37" s="24">
        <v>7.0644961596123004</v>
      </c>
      <c r="CA37" s="24">
        <v>8.6101812334147443</v>
      </c>
      <c r="CB37" s="24">
        <v>1.4214803105939999E-4</v>
      </c>
      <c r="CC37" s="24">
        <v>0.69097564181672544</v>
      </c>
      <c r="CD37" s="24">
        <v>0.52929616990093165</v>
      </c>
      <c r="CE37" s="24">
        <v>11.58412318628725</v>
      </c>
      <c r="CF37" s="24">
        <v>336.63014888845731</v>
      </c>
      <c r="CG37" s="24">
        <v>337.81798643711551</v>
      </c>
      <c r="CH37" s="24">
        <v>340.47608875916211</v>
      </c>
      <c r="CI37" s="24">
        <v>337.41893690542679</v>
      </c>
      <c r="CJ37" s="24">
        <v>337.74997620082593</v>
      </c>
      <c r="CK37" s="24">
        <v>337.81798643711551</v>
      </c>
      <c r="CL37" s="24">
        <v>338.09667556785303</v>
      </c>
      <c r="CM37" s="24">
        <v>338.71647168593381</v>
      </c>
      <c r="CN37" s="24">
        <v>339.40499576660591</v>
      </c>
      <c r="CO37" s="24">
        <v>340.21993238106802</v>
      </c>
      <c r="CP37" s="24">
        <v>340.59836181894792</v>
      </c>
      <c r="CQ37" s="24">
        <v>341.25572732474183</v>
      </c>
      <c r="CR37" s="24">
        <v>342.71170255848199</v>
      </c>
      <c r="CS37" s="24">
        <v>345.15408473041629</v>
      </c>
      <c r="CT37" s="24">
        <v>346.72784520488898</v>
      </c>
      <c r="CU37" s="24">
        <v>350.49270956017222</v>
      </c>
      <c r="CV37" s="24">
        <v>366.21071321588983</v>
      </c>
      <c r="CW37" s="24">
        <v>399.49133964407571</v>
      </c>
      <c r="CX37" s="24">
        <v>404.92532948074899</v>
      </c>
      <c r="CY37" s="24">
        <v>8.9214533374707923</v>
      </c>
      <c r="CZ37" s="24">
        <v>9.040013982730974</v>
      </c>
      <c r="DA37" s="24">
        <v>9.0722118143939738</v>
      </c>
      <c r="DB37" s="24">
        <v>9.2411678537258517</v>
      </c>
      <c r="DC37" s="24">
        <v>9.6581879197208238</v>
      </c>
      <c r="DD37" s="24">
        <v>10.2310663025302</v>
      </c>
      <c r="DE37" s="24">
        <v>11.066569687403531</v>
      </c>
      <c r="DF37" s="24">
        <v>11.51671103461279</v>
      </c>
      <c r="DG37" s="24">
        <v>12.37694826344466</v>
      </c>
      <c r="DH37" s="24">
        <v>14.65329522373837</v>
      </c>
      <c r="DI37" s="24">
        <v>19.097258952739061</v>
      </c>
      <c r="DJ37" s="24">
        <v>22.13421740338903</v>
      </c>
      <c r="DK37" s="24">
        <v>29.0767499734281</v>
      </c>
      <c r="DL37" s="24">
        <v>45.970434628901032</v>
      </c>
      <c r="DM37" s="24">
        <v>62.773350565500706</v>
      </c>
      <c r="DN37" s="24">
        <v>66.625423632173792</v>
      </c>
      <c r="DO37" s="24">
        <v>806.05060322415034</v>
      </c>
    </row>
    <row r="38" spans="1:119" x14ac:dyDescent="0.3">
      <c r="A38" s="24" t="s">
        <v>400</v>
      </c>
      <c r="B38" s="24" t="s">
        <v>428</v>
      </c>
      <c r="C38" s="24" t="s">
        <v>429</v>
      </c>
      <c r="D38" s="24">
        <v>6.0000000000000001E-3</v>
      </c>
      <c r="E38" s="24">
        <v>8.0000000000000007E-5</v>
      </c>
      <c r="F38" s="24">
        <v>2.6126700000000001E-3</v>
      </c>
      <c r="G38" s="24">
        <v>8.75</v>
      </c>
      <c r="H38" s="24">
        <v>7.4999999999999997E-2</v>
      </c>
      <c r="I38" s="24">
        <v>2.67</v>
      </c>
      <c r="J38" s="24">
        <v>293.14999999999998</v>
      </c>
      <c r="K38" s="24">
        <v>420.96300000000002</v>
      </c>
      <c r="L38" s="24">
        <v>80</v>
      </c>
      <c r="M38" s="24">
        <v>0.3</v>
      </c>
      <c r="N38" s="24">
        <v>0.1225750956861382</v>
      </c>
      <c r="O38" s="24">
        <v>2.9804894780716601E-2</v>
      </c>
      <c r="P38" s="24">
        <v>30.070150302648781</v>
      </c>
      <c r="Q38" s="24">
        <v>41.624187468787923</v>
      </c>
      <c r="R38" s="24">
        <v>50.332132809905147</v>
      </c>
      <c r="S38" s="24">
        <v>85.766613448429794</v>
      </c>
      <c r="T38" s="24">
        <v>61.731545242401303</v>
      </c>
      <c r="U38" s="24">
        <v>2.488549577615311</v>
      </c>
      <c r="V38" s="24">
        <v>368.1585486232724</v>
      </c>
      <c r="W38" s="24">
        <v>7.0971114341797819</v>
      </c>
      <c r="X38" s="24">
        <v>5.6222529341276406</v>
      </c>
      <c r="Y38" s="24">
        <v>6.9527778153565452</v>
      </c>
      <c r="Z38" s="24">
        <v>8.5105489648053876</v>
      </c>
      <c r="AA38" s="24">
        <v>6.472204080249E-4</v>
      </c>
      <c r="AB38" s="24">
        <v>1.1065786414443419</v>
      </c>
      <c r="AC38" s="24">
        <v>5.5120064489801086</v>
      </c>
      <c r="AD38" s="24">
        <v>6.1546136844145822</v>
      </c>
      <c r="AE38" s="24">
        <v>4.5</v>
      </c>
      <c r="AF38" s="24">
        <v>0.17425418739690751</v>
      </c>
      <c r="AG38" s="24">
        <v>2.8942273368260898E-2</v>
      </c>
      <c r="AH38" s="24">
        <v>81.198210387842138</v>
      </c>
      <c r="AI38" s="24">
        <v>64.72389836803319</v>
      </c>
      <c r="AJ38" s="24">
        <v>1.0406019977251439</v>
      </c>
      <c r="AK38" s="24">
        <v>2.5458919549750099</v>
      </c>
      <c r="AL38" s="24">
        <v>6.3831963065923478</v>
      </c>
      <c r="AM38" s="24">
        <v>46.779532404689142</v>
      </c>
      <c r="AN38" s="24">
        <v>57.333793710648997</v>
      </c>
      <c r="AO38" s="24">
        <v>82.161323923574415</v>
      </c>
      <c r="AP38" s="24">
        <v>46.779532404689142</v>
      </c>
      <c r="AQ38" s="24">
        <v>42.589221963844153</v>
      </c>
      <c r="AR38" s="24">
        <v>0.65899027302399793</v>
      </c>
      <c r="AS38" s="24">
        <v>9.9722553584427036</v>
      </c>
      <c r="AT38" s="24">
        <v>98.816365286749502</v>
      </c>
      <c r="AU38" s="24">
        <v>3.0218599920895501</v>
      </c>
      <c r="AV38" s="24">
        <v>9.6934598886679915</v>
      </c>
      <c r="AW38" s="24">
        <v>11.548005430613831</v>
      </c>
      <c r="AX38" s="24">
        <v>5.4669250204893292</v>
      </c>
      <c r="AY38" s="24">
        <v>5.1448292539512517</v>
      </c>
      <c r="AZ38" s="24">
        <v>8.2689616907387791</v>
      </c>
      <c r="BA38" s="24">
        <v>93.027129298190076</v>
      </c>
      <c r="BB38" s="24">
        <v>127.3239990935284</v>
      </c>
      <c r="BC38" s="24">
        <v>6.6242775182688849</v>
      </c>
      <c r="BD38" s="24">
        <v>12.51255499364661</v>
      </c>
      <c r="BE38" s="24">
        <v>30.184980138926829</v>
      </c>
      <c r="BF38" s="24">
        <v>44.549275530436681</v>
      </c>
      <c r="BG38" s="24">
        <v>57.99925726911826</v>
      </c>
      <c r="BH38" s="24">
        <v>85.895762710193011</v>
      </c>
      <c r="BI38" s="24">
        <v>64.944538633657402</v>
      </c>
      <c r="BJ38" s="24">
        <v>2.599048635190079</v>
      </c>
      <c r="BK38" s="24">
        <v>7.1278663509343776</v>
      </c>
      <c r="BL38" s="24">
        <v>5.6418258157569241</v>
      </c>
      <c r="BM38" s="24">
        <v>6.9857654008385479</v>
      </c>
      <c r="BN38" s="24">
        <v>8.591694600894078</v>
      </c>
      <c r="BO38" s="24">
        <v>0.96054303441794964</v>
      </c>
      <c r="BP38" s="24">
        <v>6.6242775182688849</v>
      </c>
      <c r="BQ38" s="24">
        <v>48.694400795265473</v>
      </c>
      <c r="BR38" s="24">
        <v>65.868816237879855</v>
      </c>
      <c r="BS38" s="24">
        <v>67.336724144362165</v>
      </c>
      <c r="BT38" s="24">
        <v>95.224125467704184</v>
      </c>
      <c r="BU38" s="24">
        <v>79.744520112114998</v>
      </c>
      <c r="BV38" s="24">
        <v>3.8033120060255832</v>
      </c>
      <c r="BW38" s="24">
        <v>357.05111376323299</v>
      </c>
      <c r="BX38" s="24">
        <v>7.2695172597176958</v>
      </c>
      <c r="BY38" s="24">
        <v>5.726103876212167</v>
      </c>
      <c r="BZ38" s="24">
        <v>7.1569897503327597</v>
      </c>
      <c r="CA38" s="24">
        <v>8.7619102299469951</v>
      </c>
      <c r="CB38" s="24">
        <v>1.3658060936630001E-4</v>
      </c>
      <c r="CC38" s="24">
        <v>0.69100071712256683</v>
      </c>
      <c r="CD38" s="24">
        <v>3.4536855654359888</v>
      </c>
      <c r="CE38" s="24">
        <v>8.787453878620358</v>
      </c>
      <c r="CF38" s="24">
        <v>347.68295824460819</v>
      </c>
      <c r="CG38" s="24">
        <v>349.12297517630458</v>
      </c>
      <c r="CH38" s="24">
        <v>352.36328622456853</v>
      </c>
      <c r="CI38" s="24">
        <v>348.64337504528521</v>
      </c>
      <c r="CJ38" s="24">
        <v>349.04251743223972</v>
      </c>
      <c r="CK38" s="24">
        <v>349.12297517630458</v>
      </c>
      <c r="CL38" s="24">
        <v>349.44630888639921</v>
      </c>
      <c r="CM38" s="24">
        <v>350.16249242390319</v>
      </c>
      <c r="CN38" s="24">
        <v>350.93517075164038</v>
      </c>
      <c r="CO38" s="24">
        <v>351.82709255941143</v>
      </c>
      <c r="CP38" s="24">
        <v>352.23012769777353</v>
      </c>
      <c r="CQ38" s="24">
        <v>352.91308358235551</v>
      </c>
      <c r="CR38" s="24">
        <v>354.36575610098402</v>
      </c>
      <c r="CS38" s="24">
        <v>356.64348536194001</v>
      </c>
      <c r="CT38" s="24">
        <v>358.08907506509507</v>
      </c>
      <c r="CU38" s="24">
        <v>361.62414542334778</v>
      </c>
      <c r="CV38" s="24">
        <v>377.32613648834808</v>
      </c>
      <c r="CW38" s="24">
        <v>410.71669989537372</v>
      </c>
      <c r="CX38" s="24">
        <v>416.48178385129961</v>
      </c>
      <c r="CY38" s="24">
        <v>6.7611504113832268</v>
      </c>
      <c r="CZ38" s="24">
        <v>6.8585137406411256</v>
      </c>
      <c r="DA38" s="24">
        <v>6.8850673356436669</v>
      </c>
      <c r="DB38" s="24">
        <v>7.024558502621729</v>
      </c>
      <c r="DC38" s="24">
        <v>7.3679517767098357</v>
      </c>
      <c r="DD38" s="24">
        <v>7.8424625980974856</v>
      </c>
      <c r="DE38" s="24">
        <v>8.540275220556488</v>
      </c>
      <c r="DF38" s="24">
        <v>8.918390750584976</v>
      </c>
      <c r="DG38" s="24">
        <v>9.6435439857365637</v>
      </c>
      <c r="DH38" s="24">
        <v>11.59929984725755</v>
      </c>
      <c r="DI38" s="24">
        <v>15.6168583351214</v>
      </c>
      <c r="DJ38" s="24">
        <v>18.493551163024438</v>
      </c>
      <c r="DK38" s="24">
        <v>25.449033720018939</v>
      </c>
      <c r="DL38" s="24">
        <v>43.889000627182632</v>
      </c>
      <c r="DM38" s="24">
        <v>62.024751230179326</v>
      </c>
      <c r="DN38" s="24">
        <v>66.296345286628338</v>
      </c>
      <c r="DO38" s="24">
        <v>966.65657316618842</v>
      </c>
    </row>
    <row r="39" spans="1:119" x14ac:dyDescent="0.3">
      <c r="A39" s="24" t="s">
        <v>436</v>
      </c>
      <c r="B39" s="24" t="s">
        <v>428</v>
      </c>
      <c r="C39" s="24" t="s">
        <v>54</v>
      </c>
      <c r="D39" s="24">
        <v>6.0000000000000001E-3</v>
      </c>
      <c r="E39" s="24">
        <v>5.5000000000000002E-5</v>
      </c>
      <c r="F39" s="24">
        <v>1.8296893333333E-3</v>
      </c>
      <c r="G39" s="24">
        <v>8.75</v>
      </c>
      <c r="H39" s="24">
        <v>7.4999999999999997E-2</v>
      </c>
      <c r="I39" s="24">
        <v>3.052</v>
      </c>
      <c r="J39" s="24">
        <v>293.14999999999998</v>
      </c>
      <c r="K39" s="24">
        <v>423.15</v>
      </c>
      <c r="L39" s="24">
        <v>80</v>
      </c>
      <c r="M39" s="24">
        <v>0.3</v>
      </c>
      <c r="N39" s="24">
        <v>4.9710140690982098E-2</v>
      </c>
      <c r="O39" s="24">
        <v>2.2980529298804901E-2</v>
      </c>
      <c r="P39" s="24">
        <v>16.432890799253901</v>
      </c>
      <c r="Q39" s="24">
        <v>31.539081734454971</v>
      </c>
      <c r="R39" s="24">
        <v>37.676945823536087</v>
      </c>
      <c r="S39" s="24">
        <v>59.089060825844328</v>
      </c>
      <c r="T39" s="24">
        <v>43.828747701377928</v>
      </c>
      <c r="U39" s="24">
        <v>2.8163814018505162</v>
      </c>
      <c r="V39" s="24">
        <v>384.61748196890778</v>
      </c>
      <c r="W39" s="24">
        <v>7.7294876095495972</v>
      </c>
      <c r="X39" s="24">
        <v>6.5353614123953543</v>
      </c>
      <c r="Y39" s="24">
        <v>7.4822024665077942</v>
      </c>
      <c r="Z39" s="24">
        <v>9.1156237399566944</v>
      </c>
      <c r="AA39" s="24">
        <v>5.0483484420109999E-4</v>
      </c>
      <c r="AB39" s="24">
        <v>1.1321557279715571</v>
      </c>
      <c r="AC39" s="24">
        <v>7.4893844540404482</v>
      </c>
      <c r="AD39" s="24">
        <v>2.523688336735471</v>
      </c>
      <c r="AE39" s="24">
        <v>3.3</v>
      </c>
      <c r="AF39" s="24">
        <v>8.0290391714794407E-2</v>
      </c>
      <c r="AG39" s="24">
        <v>2.24642880686661E-2</v>
      </c>
      <c r="AH39" s="24">
        <v>10.83179247646787</v>
      </c>
      <c r="AI39" s="24">
        <v>2.8045547854549762</v>
      </c>
      <c r="AJ39" s="24"/>
      <c r="AK39" s="24"/>
      <c r="AL39" s="24">
        <v>4.5574705490779044</v>
      </c>
      <c r="AM39" s="24">
        <v>33.233769933946448</v>
      </c>
      <c r="AN39" s="24">
        <v>45.43167801052374</v>
      </c>
      <c r="AO39" s="24">
        <v>91.87235450107022</v>
      </c>
      <c r="AP39" s="24">
        <v>33.233769933946448</v>
      </c>
      <c r="AQ39" s="24">
        <v>54.446596516978431</v>
      </c>
      <c r="AR39" s="24">
        <v>0.57673571831503845</v>
      </c>
      <c r="AS39" s="24">
        <v>11.742897830760061</v>
      </c>
      <c r="AT39" s="24">
        <v>100</v>
      </c>
      <c r="AU39" s="24">
        <v>2.0294011441662341</v>
      </c>
      <c r="AV39" s="24">
        <v>9.8593240556660025</v>
      </c>
      <c r="AW39" s="24">
        <v>17.489675071105729</v>
      </c>
      <c r="AX39" s="24">
        <v>7.7879969202607109</v>
      </c>
      <c r="AY39" s="24">
        <v>7.4365884771316306</v>
      </c>
      <c r="AZ39" s="24">
        <v>9.7584760775410917</v>
      </c>
      <c r="BA39" s="24">
        <v>110.83179314454</v>
      </c>
      <c r="BB39" s="24">
        <v>136.80635240319671</v>
      </c>
      <c r="BC39" s="24">
        <v>2.6281972058386152</v>
      </c>
      <c r="BD39" s="24">
        <v>4.5508123056762244</v>
      </c>
      <c r="BE39" s="24">
        <v>16.476324389740551</v>
      </c>
      <c r="BF39" s="24">
        <v>32.500252244795689</v>
      </c>
      <c r="BG39" s="24">
        <v>37.724975442861833</v>
      </c>
      <c r="BH39" s="24">
        <v>59.134256638782013</v>
      </c>
      <c r="BI39" s="24">
        <v>45.012985222483891</v>
      </c>
      <c r="BJ39" s="24">
        <v>2.8244402101052888</v>
      </c>
      <c r="BK39" s="24">
        <v>7.798781912407625</v>
      </c>
      <c r="BL39" s="24">
        <v>6.5543663825935701</v>
      </c>
      <c r="BM39" s="24">
        <v>7.5491637478936413</v>
      </c>
      <c r="BN39" s="24">
        <v>9.2581140961828563</v>
      </c>
      <c r="BO39" s="24">
        <v>1.130761034255704</v>
      </c>
      <c r="BP39" s="24">
        <v>2.6281972058386152</v>
      </c>
      <c r="BQ39" s="24">
        <v>36.639708199932691</v>
      </c>
      <c r="BR39" s="24">
        <v>49.579793428652842</v>
      </c>
      <c r="BS39" s="24">
        <v>48.477357500898783</v>
      </c>
      <c r="BT39" s="24">
        <v>69.73853866767368</v>
      </c>
      <c r="BU39" s="24">
        <v>57.646514102930936</v>
      </c>
      <c r="BV39" s="24">
        <v>4.5139048896783249</v>
      </c>
      <c r="BW39" s="24">
        <v>376.79616613455579</v>
      </c>
      <c r="BX39" s="24">
        <v>8.5820629693773984</v>
      </c>
      <c r="BY39" s="24">
        <v>7.1559819864772143</v>
      </c>
      <c r="BZ39" s="24">
        <v>8.2150196674060432</v>
      </c>
      <c r="CA39" s="24">
        <v>9.9766134649755376</v>
      </c>
      <c r="CB39" s="24">
        <v>4.4071940781133367E-5</v>
      </c>
      <c r="CC39" s="24">
        <v>0.68276886724131636</v>
      </c>
      <c r="CD39" s="24">
        <v>6.8397993199967582</v>
      </c>
      <c r="CE39" s="24">
        <v>3.8095326703362051</v>
      </c>
      <c r="CF39" s="24">
        <v>364.08881858631912</v>
      </c>
      <c r="CG39" s="24">
        <v>365.94851481295348</v>
      </c>
      <c r="CH39" s="24">
        <v>370.09245174490019</v>
      </c>
      <c r="CI39" s="24">
        <v>365.3528700049024</v>
      </c>
      <c r="CJ39" s="24">
        <v>365.8524483616643</v>
      </c>
      <c r="CK39" s="24">
        <v>365.94851481295348</v>
      </c>
      <c r="CL39" s="24">
        <v>366.33575466438151</v>
      </c>
      <c r="CM39" s="24">
        <v>367.18212741341381</v>
      </c>
      <c r="CN39" s="24">
        <v>368.07420470916242</v>
      </c>
      <c r="CO39" s="24">
        <v>369.05253459225469</v>
      </c>
      <c r="CP39" s="24">
        <v>369.47473981079952</v>
      </c>
      <c r="CQ39" s="24">
        <v>370.15612817159928</v>
      </c>
      <c r="CR39" s="24">
        <v>371.4394594565822</v>
      </c>
      <c r="CS39" s="24">
        <v>372.94063636167948</v>
      </c>
      <c r="CT39" s="24">
        <v>373.62513730024318</v>
      </c>
      <c r="CU39" s="24">
        <v>374.92999328133368</v>
      </c>
      <c r="CV39" s="24">
        <v>382.98265823470922</v>
      </c>
      <c r="CW39" s="24">
        <v>412.54092513766761</v>
      </c>
      <c r="CX39" s="24">
        <v>418.44784545546543</v>
      </c>
      <c r="CY39" s="24">
        <v>2.6719683209096519</v>
      </c>
      <c r="CZ39" s="24">
        <v>2.7086028273447078</v>
      </c>
      <c r="DA39" s="24">
        <v>2.718531537536637</v>
      </c>
      <c r="DB39" s="24">
        <v>2.7710830045991122</v>
      </c>
      <c r="DC39" s="24">
        <v>2.903197914224966</v>
      </c>
      <c r="DD39" s="24">
        <v>3.087888343849917</v>
      </c>
      <c r="DE39" s="24">
        <v>3.3617723285786059</v>
      </c>
      <c r="DF39" s="24">
        <v>3.5116146350934581</v>
      </c>
      <c r="DG39" s="24">
        <v>3.8006295542778199</v>
      </c>
      <c r="DH39" s="24">
        <v>4.6005474120307053</v>
      </c>
      <c r="DI39" s="24">
        <v>6.0856242250471562</v>
      </c>
      <c r="DJ39" s="24">
        <v>7.0393268100895243</v>
      </c>
      <c r="DK39" s="24">
        <v>9.6678770014584163</v>
      </c>
      <c r="DL39" s="24">
        <v>24.03533109534532</v>
      </c>
      <c r="DM39" s="24">
        <v>54.959681993744077</v>
      </c>
      <c r="DN39" s="24">
        <v>63.064727720953343</v>
      </c>
      <c r="DO39" s="24">
        <v>1157.770350660408</v>
      </c>
    </row>
    <row r="40" spans="1:119" x14ac:dyDescent="0.3">
      <c r="A40" s="24" t="s">
        <v>437</v>
      </c>
      <c r="B40" s="24" t="s">
        <v>431</v>
      </c>
      <c r="C40" s="24" t="s">
        <v>54</v>
      </c>
      <c r="D40" s="24">
        <v>6.0000000000000001E-3</v>
      </c>
      <c r="E40" s="24">
        <v>5.5000000000000002E-5</v>
      </c>
      <c r="F40" s="24">
        <v>1.8296893333333E-3</v>
      </c>
      <c r="G40" s="24">
        <v>8.75</v>
      </c>
      <c r="H40" s="24">
        <v>7.4999999999999997E-2</v>
      </c>
      <c r="I40" s="24">
        <v>3.052</v>
      </c>
      <c r="J40" s="24">
        <v>293.14999999999998</v>
      </c>
      <c r="K40" s="24">
        <v>423.15</v>
      </c>
      <c r="L40" s="24">
        <v>80</v>
      </c>
      <c r="M40" s="24">
        <v>0.3</v>
      </c>
      <c r="N40" s="24">
        <v>4.9705333266142002E-2</v>
      </c>
      <c r="O40" s="24">
        <v>2.2977768130019699E-2</v>
      </c>
      <c r="P40" s="24">
        <v>16.432790565446801</v>
      </c>
      <c r="Q40" s="24">
        <v>31.570627123104931</v>
      </c>
      <c r="R40" s="24">
        <v>37.681672561978651</v>
      </c>
      <c r="S40" s="24">
        <v>59.095262511478687</v>
      </c>
      <c r="T40" s="24">
        <v>43.917444879907528</v>
      </c>
      <c r="U40" s="24">
        <v>2.8137485346112538</v>
      </c>
      <c r="V40" s="24">
        <v>384.56881815880121</v>
      </c>
      <c r="W40" s="24">
        <v>7.7095497534657111</v>
      </c>
      <c r="X40" s="24">
        <v>6.5312621881704969</v>
      </c>
      <c r="Y40" s="24">
        <v>7.4798836704251874</v>
      </c>
      <c r="Z40" s="24">
        <v>9.0956303742220435</v>
      </c>
      <c r="AA40" s="24">
        <v>5.0048846763049997E-4</v>
      </c>
      <c r="AB40" s="24">
        <v>1.1321809528454669</v>
      </c>
      <c r="AC40" s="24">
        <v>7.4865221362097047</v>
      </c>
      <c r="AD40" s="24">
        <v>2.5362734897452941</v>
      </c>
      <c r="AE40" s="24">
        <v>3.3</v>
      </c>
      <c r="AF40" s="24">
        <v>8.8208648414850599E-2</v>
      </c>
      <c r="AG40" s="24">
        <v>2.2461649554733301E-2</v>
      </c>
      <c r="AH40" s="24">
        <v>11.198332974335001</v>
      </c>
      <c r="AI40" s="24">
        <v>2.7109357748761349</v>
      </c>
      <c r="AJ40" s="24"/>
      <c r="AK40" s="24"/>
      <c r="AL40" s="24">
        <v>4.557445980916575</v>
      </c>
      <c r="AM40" s="24">
        <v>33.233578524000698</v>
      </c>
      <c r="AN40" s="24">
        <v>45.432068533145127</v>
      </c>
      <c r="AO40" s="24">
        <v>91.086086874223355</v>
      </c>
      <c r="AP40" s="24">
        <v>33.233578524000698</v>
      </c>
      <c r="AQ40" s="24">
        <v>54.448763843862963</v>
      </c>
      <c r="AR40" s="24">
        <v>0.57453786455242151</v>
      </c>
      <c r="AS40" s="24">
        <v>11.743119767583909</v>
      </c>
      <c r="AT40" s="24">
        <v>100</v>
      </c>
      <c r="AU40" s="24">
        <v>2.0295582614595111</v>
      </c>
      <c r="AV40" s="24">
        <v>9.8593240556660025</v>
      </c>
      <c r="AW40" s="24">
        <v>17.488321116178849</v>
      </c>
      <c r="AX40" s="24">
        <v>7.7880389035920699</v>
      </c>
      <c r="AY40" s="24">
        <v>7.4423289640733916</v>
      </c>
      <c r="AZ40" s="24">
        <v>9.7472804495651584</v>
      </c>
      <c r="BA40" s="24">
        <v>110.8126032264727</v>
      </c>
      <c r="BB40" s="24">
        <v>136.48188805976579</v>
      </c>
      <c r="BC40" s="24">
        <v>2.6357351979165462</v>
      </c>
      <c r="BD40" s="24">
        <v>4.5358329748438182</v>
      </c>
      <c r="BE40" s="24">
        <v>16.47640767654924</v>
      </c>
      <c r="BF40" s="24">
        <v>32.501431134470167</v>
      </c>
      <c r="BG40" s="24">
        <v>37.720572193400521</v>
      </c>
      <c r="BH40" s="24">
        <v>59.135003794989402</v>
      </c>
      <c r="BI40" s="24">
        <v>45.013702775752961</v>
      </c>
      <c r="BJ40" s="24">
        <v>2.8245664186485651</v>
      </c>
      <c r="BK40" s="24">
        <v>7.8268124080774806</v>
      </c>
      <c r="BL40" s="24">
        <v>6.5514035721381241</v>
      </c>
      <c r="BM40" s="24">
        <v>7.5388574449119776</v>
      </c>
      <c r="BN40" s="24">
        <v>9.3383142442164448</v>
      </c>
      <c r="BO40" s="24">
        <v>1.1309106314644819</v>
      </c>
      <c r="BP40" s="24">
        <v>2.6357351979165462</v>
      </c>
      <c r="BQ40" s="24">
        <v>36.609967343345993</v>
      </c>
      <c r="BR40" s="24">
        <v>46.515136614867863</v>
      </c>
      <c r="BS40" s="24">
        <v>48.477922862131187</v>
      </c>
      <c r="BT40" s="24">
        <v>69.707452201315505</v>
      </c>
      <c r="BU40" s="24">
        <v>55.62986316675692</v>
      </c>
      <c r="BV40" s="24">
        <v>4.0540285595076444</v>
      </c>
      <c r="BW40" s="24">
        <v>377.76804588544923</v>
      </c>
      <c r="BX40" s="24">
        <v>9.0250511831652656</v>
      </c>
      <c r="BY40" s="24">
        <v>7.1467814610730294</v>
      </c>
      <c r="BZ40" s="24">
        <v>8.360315076917475</v>
      </c>
      <c r="CA40" s="24">
        <v>10.876225678105101</v>
      </c>
      <c r="CB40" s="24">
        <v>4.8418326407853223E-5</v>
      </c>
      <c r="CC40" s="24">
        <v>0.68273314745966163</v>
      </c>
      <c r="CD40" s="24">
        <v>6.990744675595729</v>
      </c>
      <c r="CE40" s="24">
        <v>3.6520764683903839</v>
      </c>
      <c r="CF40" s="24">
        <v>364.08831090691132</v>
      </c>
      <c r="CG40" s="24">
        <v>365.94821484172621</v>
      </c>
      <c r="CH40" s="24">
        <v>370.09515381879112</v>
      </c>
      <c r="CI40" s="24">
        <v>365.35266107415748</v>
      </c>
      <c r="CJ40" s="24">
        <v>365.85225789031239</v>
      </c>
      <c r="CK40" s="24">
        <v>365.94821484172621</v>
      </c>
      <c r="CL40" s="24">
        <v>366.33645530652461</v>
      </c>
      <c r="CM40" s="24">
        <v>367.18415517752379</v>
      </c>
      <c r="CN40" s="24">
        <v>368.07601374363759</v>
      </c>
      <c r="CO40" s="24">
        <v>369.05452236141127</v>
      </c>
      <c r="CP40" s="24">
        <v>369.47677254402532</v>
      </c>
      <c r="CQ40" s="24">
        <v>370.15755648501681</v>
      </c>
      <c r="CR40" s="24">
        <v>371.44056479497749</v>
      </c>
      <c r="CS40" s="24">
        <v>372.94085527452268</v>
      </c>
      <c r="CT40" s="24">
        <v>373.62520338597398</v>
      </c>
      <c r="CU40" s="24">
        <v>374.9296403562638</v>
      </c>
      <c r="CV40" s="24">
        <v>382.98384874667818</v>
      </c>
      <c r="CW40" s="24">
        <v>412.54062102351412</v>
      </c>
      <c r="CX40" s="24">
        <v>418.44827199307548</v>
      </c>
      <c r="CY40" s="24">
        <v>2.6808229890119799</v>
      </c>
      <c r="CZ40" s="24">
        <v>2.7182014564480532</v>
      </c>
      <c r="DA40" s="24">
        <v>2.7283211359880442</v>
      </c>
      <c r="DB40" s="24">
        <v>2.7811432809595318</v>
      </c>
      <c r="DC40" s="24">
        <v>2.912427910373566</v>
      </c>
      <c r="DD40" s="24">
        <v>3.095101446243643</v>
      </c>
      <c r="DE40" s="24">
        <v>3.3657870335357392</v>
      </c>
      <c r="DF40" s="24">
        <v>3.5130352279183472</v>
      </c>
      <c r="DG40" s="24">
        <v>3.8000618189866748</v>
      </c>
      <c r="DH40" s="24">
        <v>4.5959957273864793</v>
      </c>
      <c r="DI40" s="24">
        <v>6.0774424148095196</v>
      </c>
      <c r="DJ40" s="24">
        <v>7.0378225490588973</v>
      </c>
      <c r="DK40" s="24">
        <v>9.6738839808429233</v>
      </c>
      <c r="DL40" s="24">
        <v>24.103809341367899</v>
      </c>
      <c r="DM40" s="24">
        <v>54.959974328441767</v>
      </c>
      <c r="DN40" s="24">
        <v>63.06460122488479</v>
      </c>
      <c r="DO40" s="24">
        <v>1157.79223213107</v>
      </c>
    </row>
    <row r="41" spans="1:119" x14ac:dyDescent="0.3">
      <c r="A41" s="24" t="s">
        <v>438</v>
      </c>
      <c r="B41" s="24" t="s">
        <v>428</v>
      </c>
      <c r="C41" s="24" t="s">
        <v>54</v>
      </c>
      <c r="D41" s="24">
        <v>6.0000000000000001E-3</v>
      </c>
      <c r="E41" s="24">
        <v>8.0000000000000007E-5</v>
      </c>
      <c r="F41" s="24">
        <v>2.4208197333333002E-3</v>
      </c>
      <c r="G41" s="24">
        <v>8.75</v>
      </c>
      <c r="H41" s="24">
        <v>7.4999999999999997E-2</v>
      </c>
      <c r="I41" s="24">
        <v>2.67</v>
      </c>
      <c r="J41" s="24">
        <v>293.14999999999998</v>
      </c>
      <c r="K41" s="24">
        <v>423.15</v>
      </c>
      <c r="L41" s="24">
        <v>80</v>
      </c>
      <c r="M41" s="24">
        <v>0.3</v>
      </c>
      <c r="N41" s="24">
        <v>9.3486141411316004E-2</v>
      </c>
      <c r="O41" s="24">
        <v>2.8149578378955101E-2</v>
      </c>
      <c r="P41" s="24">
        <v>30.12954559201204</v>
      </c>
      <c r="Q41" s="24">
        <v>41.90439585819292</v>
      </c>
      <c r="R41" s="24">
        <v>50.343235684719623</v>
      </c>
      <c r="S41" s="24">
        <v>85.752729310178651</v>
      </c>
      <c r="T41" s="24">
        <v>61.86440099081743</v>
      </c>
      <c r="U41" s="24">
        <v>2.5126688769444021</v>
      </c>
      <c r="V41" s="24">
        <v>372.75654743958501</v>
      </c>
      <c r="W41" s="24">
        <v>7.0757716617197968</v>
      </c>
      <c r="X41" s="24">
        <v>5.6786966700852339</v>
      </c>
      <c r="Y41" s="24">
        <v>6.9772710398545366</v>
      </c>
      <c r="Z41" s="24">
        <v>8.4154815523844135</v>
      </c>
      <c r="AA41" s="24">
        <v>6.1072744120559998E-4</v>
      </c>
      <c r="AB41" s="24">
        <v>1.1048789963861929</v>
      </c>
      <c r="AC41" s="24">
        <v>6.1558375177268809</v>
      </c>
      <c r="AD41" s="24">
        <v>5.3238286554691907</v>
      </c>
      <c r="AE41" s="24">
        <v>4.5</v>
      </c>
      <c r="AF41" s="24">
        <v>0.15906245155668761</v>
      </c>
      <c r="AG41" s="24">
        <v>2.7378874602407101E-2</v>
      </c>
      <c r="AH41" s="24">
        <v>68.432695388352229</v>
      </c>
      <c r="AI41" s="24">
        <v>50.93999426868163</v>
      </c>
      <c r="AJ41" s="24"/>
      <c r="AK41" s="24"/>
      <c r="AL41" s="24">
        <v>5.9413117466060097</v>
      </c>
      <c r="AM41" s="24">
        <v>42.973683099896888</v>
      </c>
      <c r="AN41" s="24">
        <v>54.017945623092267</v>
      </c>
      <c r="AO41" s="24">
        <v>83.729748798686785</v>
      </c>
      <c r="AP41" s="24">
        <v>42.973683099896888</v>
      </c>
      <c r="AQ41" s="24">
        <v>45.888589688795243</v>
      </c>
      <c r="AR41" s="24">
        <v>0.64844254909174937</v>
      </c>
      <c r="AS41" s="24">
        <v>10.48928466221613</v>
      </c>
      <c r="AT41" s="24">
        <v>99.895501706987744</v>
      </c>
      <c r="AU41" s="24">
        <v>2.7735083362711972</v>
      </c>
      <c r="AV41" s="24">
        <v>9.8593240556660025</v>
      </c>
      <c r="AW41" s="24">
        <v>12.79735349492997</v>
      </c>
      <c r="AX41" s="24">
        <v>5.9740286512777931</v>
      </c>
      <c r="AY41" s="24">
        <v>5.903359453786142</v>
      </c>
      <c r="AZ41" s="24">
        <v>8.4632910572784699</v>
      </c>
      <c r="BA41" s="24">
        <v>97.958396552937785</v>
      </c>
      <c r="BB41" s="24">
        <v>130.69501193943611</v>
      </c>
      <c r="BC41" s="24">
        <v>5.7336414746455393</v>
      </c>
      <c r="BD41" s="24">
        <v>11.069563679878989</v>
      </c>
      <c r="BE41" s="24">
        <v>30.215960692891201</v>
      </c>
      <c r="BF41" s="24">
        <v>44.632509876913311</v>
      </c>
      <c r="BG41" s="24">
        <v>58.161048078882082</v>
      </c>
      <c r="BH41" s="24">
        <v>85.917257736633076</v>
      </c>
      <c r="BI41" s="24">
        <v>65.100739828058778</v>
      </c>
      <c r="BJ41" s="24">
        <v>2.596134697655021</v>
      </c>
      <c r="BK41" s="24">
        <v>7.1018027596677857</v>
      </c>
      <c r="BL41" s="24">
        <v>5.6843069656225884</v>
      </c>
      <c r="BM41" s="24">
        <v>6.9903909626650478</v>
      </c>
      <c r="BN41" s="24">
        <v>8.4710388870756343</v>
      </c>
      <c r="BO41" s="24">
        <v>0.95770793140102795</v>
      </c>
      <c r="BP41" s="24">
        <v>5.7336414746455393</v>
      </c>
      <c r="BQ41" s="24">
        <v>50.119783043438638</v>
      </c>
      <c r="BR41" s="24">
        <v>67.119955288016172</v>
      </c>
      <c r="BS41" s="24">
        <v>69.439435582170987</v>
      </c>
      <c r="BT41" s="24">
        <v>104.1994731271586</v>
      </c>
      <c r="BU41" s="24">
        <v>81.650167221818592</v>
      </c>
      <c r="BV41" s="24">
        <v>3.9178875463202951</v>
      </c>
      <c r="BW41" s="24">
        <v>362.62670453639578</v>
      </c>
      <c r="BX41" s="24">
        <v>7.2357636472515683</v>
      </c>
      <c r="BY41" s="24">
        <v>5.7299926521033804</v>
      </c>
      <c r="BZ41" s="24">
        <v>7.0330342857881849</v>
      </c>
      <c r="CA41" s="24">
        <v>8.7298725516580546</v>
      </c>
      <c r="CB41" s="24">
        <v>1.155184522452E-4</v>
      </c>
      <c r="CC41" s="24">
        <v>0.77880371046110997</v>
      </c>
      <c r="CD41" s="24">
        <v>4.6040602229770569</v>
      </c>
      <c r="CE41" s="24">
        <v>7.8426147154119557</v>
      </c>
      <c r="CF41" s="24">
        <v>352.92667068998003</v>
      </c>
      <c r="CG41" s="24">
        <v>354.49769545228412</v>
      </c>
      <c r="CH41" s="24">
        <v>358.04821677446512</v>
      </c>
      <c r="CI41" s="24">
        <v>353.97851118361427</v>
      </c>
      <c r="CJ41" s="24">
        <v>354.41193485051872</v>
      </c>
      <c r="CK41" s="24">
        <v>354.49769545228412</v>
      </c>
      <c r="CL41" s="24">
        <v>354.84396814288152</v>
      </c>
      <c r="CM41" s="24">
        <v>355.60805919069338</v>
      </c>
      <c r="CN41" s="24">
        <v>356.4280588498678</v>
      </c>
      <c r="CO41" s="24">
        <v>357.35761899064858</v>
      </c>
      <c r="CP41" s="24">
        <v>357.77313848726692</v>
      </c>
      <c r="CQ41" s="24">
        <v>358.46737018283892</v>
      </c>
      <c r="CR41" s="24">
        <v>359.90225992565951</v>
      </c>
      <c r="CS41" s="24">
        <v>362.05286007212322</v>
      </c>
      <c r="CT41" s="24">
        <v>363.38119235606661</v>
      </c>
      <c r="CU41" s="24">
        <v>366.64963160154048</v>
      </c>
      <c r="CV41" s="24">
        <v>381.40903968833169</v>
      </c>
      <c r="CW41" s="24">
        <v>413.03036910721647</v>
      </c>
      <c r="CX41" s="24">
        <v>418.70042870670937</v>
      </c>
      <c r="CY41" s="24">
        <v>5.8610646454398294</v>
      </c>
      <c r="CZ41" s="24">
        <v>5.9527115399743247</v>
      </c>
      <c r="DA41" s="24">
        <v>5.9777999089607761</v>
      </c>
      <c r="DB41" s="24">
        <v>6.1094238711440152</v>
      </c>
      <c r="DC41" s="24">
        <v>6.4321209496354506</v>
      </c>
      <c r="DD41" s="24">
        <v>6.8758500440354444</v>
      </c>
      <c r="DE41" s="24">
        <v>7.5298790529075701</v>
      </c>
      <c r="DF41" s="24">
        <v>7.8840026153164047</v>
      </c>
      <c r="DG41" s="24">
        <v>8.5663984914992479</v>
      </c>
      <c r="DH41" s="24">
        <v>10.41172967370677</v>
      </c>
      <c r="DI41" s="24">
        <v>14.26590711480128</v>
      </c>
      <c r="DJ41" s="24">
        <v>17.07164718358511</v>
      </c>
      <c r="DK41" s="24">
        <v>24.02268921157367</v>
      </c>
      <c r="DL41" s="24">
        <v>43.10734154416059</v>
      </c>
      <c r="DM41" s="24">
        <v>61.700911750937678</v>
      </c>
      <c r="DN41" s="24">
        <v>66.155560211233265</v>
      </c>
      <c r="DO41" s="24">
        <v>1034.172565969159</v>
      </c>
    </row>
    <row r="42" spans="1:119" x14ac:dyDescent="0.3">
      <c r="A42" s="24" t="s">
        <v>439</v>
      </c>
      <c r="B42" s="24" t="s">
        <v>431</v>
      </c>
      <c r="C42" s="24" t="s">
        <v>54</v>
      </c>
      <c r="D42" s="24">
        <v>6.0000000000000001E-3</v>
      </c>
      <c r="E42" s="24">
        <v>8.0000000000000007E-5</v>
      </c>
      <c r="F42" s="24">
        <v>2.4208197333333002E-3</v>
      </c>
      <c r="G42" s="24">
        <v>8.75</v>
      </c>
      <c r="H42" s="24">
        <v>7.4999999999999997E-2</v>
      </c>
      <c r="I42" s="24">
        <v>2.67</v>
      </c>
      <c r="J42" s="24">
        <v>293.14999999999998</v>
      </c>
      <c r="K42" s="24">
        <v>423.15</v>
      </c>
      <c r="L42" s="24">
        <v>80</v>
      </c>
      <c r="M42" s="24">
        <v>0.3</v>
      </c>
      <c r="N42" s="24">
        <v>9.3310829305174106E-2</v>
      </c>
      <c r="O42" s="24">
        <v>2.81364760438894E-2</v>
      </c>
      <c r="P42" s="24">
        <v>21.689234915389029</v>
      </c>
      <c r="Q42" s="24">
        <v>41.450982098004637</v>
      </c>
      <c r="R42" s="24">
        <v>50.328910908737242</v>
      </c>
      <c r="S42" s="24">
        <v>85.763138691747386</v>
      </c>
      <c r="T42" s="24">
        <v>61.605637499442153</v>
      </c>
      <c r="U42" s="24">
        <v>2.4738723952358188</v>
      </c>
      <c r="V42" s="24">
        <v>373.00921005195602</v>
      </c>
      <c r="W42" s="24">
        <v>7.1757312975986984</v>
      </c>
      <c r="X42" s="24">
        <v>5.6934780186290039</v>
      </c>
      <c r="Y42" s="24">
        <v>6.960492731330608</v>
      </c>
      <c r="Z42" s="24">
        <v>8.5723297972408634</v>
      </c>
      <c r="AA42" s="24">
        <v>5.7909393123459999E-4</v>
      </c>
      <c r="AB42" s="24">
        <v>1.27310332410223</v>
      </c>
      <c r="AC42" s="24">
        <v>6.3352919691892078</v>
      </c>
      <c r="AD42" s="24">
        <v>5.2415590723698919</v>
      </c>
      <c r="AE42" s="24">
        <v>4.5</v>
      </c>
      <c r="AF42" s="24">
        <v>0.20262002597745771</v>
      </c>
      <c r="AG42" s="24">
        <v>2.7366479742216999E-2</v>
      </c>
      <c r="AH42" s="24">
        <v>67.598929083284801</v>
      </c>
      <c r="AI42" s="24">
        <v>50.68075335371983</v>
      </c>
      <c r="AJ42" s="24"/>
      <c r="AK42" s="24"/>
      <c r="AL42" s="24">
        <v>5.9413362746815226</v>
      </c>
      <c r="AM42" s="24">
        <v>42.97497176892437</v>
      </c>
      <c r="AN42" s="24">
        <v>53.990782561880991</v>
      </c>
      <c r="AO42" s="24">
        <v>79.326564059919704</v>
      </c>
      <c r="AP42" s="24">
        <v>42.97497176892437</v>
      </c>
      <c r="AQ42" s="24">
        <v>45.848388516023803</v>
      </c>
      <c r="AR42" s="24">
        <v>0.66093688443427845</v>
      </c>
      <c r="AS42" s="24">
        <v>10.515702830617551</v>
      </c>
      <c r="AT42" s="24">
        <v>99.880788731961417</v>
      </c>
      <c r="AU42" s="24">
        <v>2.7734157674804072</v>
      </c>
      <c r="AV42" s="24">
        <v>9.8593240556660025</v>
      </c>
      <c r="AW42" s="24">
        <v>12.79778063447112</v>
      </c>
      <c r="AX42" s="24">
        <v>5.9740039882358271</v>
      </c>
      <c r="AY42" s="24">
        <v>6.0100076320837124</v>
      </c>
      <c r="AZ42" s="24">
        <v>9.1594666520850314</v>
      </c>
      <c r="BA42" s="24">
        <v>97.935109800595939</v>
      </c>
      <c r="BB42" s="24">
        <v>130.447729698904</v>
      </c>
      <c r="BC42" s="24">
        <v>5.730495129649908</v>
      </c>
      <c r="BD42" s="24">
        <v>11.187596835018979</v>
      </c>
      <c r="BE42" s="24">
        <v>31.012115668479499</v>
      </c>
      <c r="BF42" s="24">
        <v>44.802139303244253</v>
      </c>
      <c r="BG42" s="24">
        <v>59.715730581667877</v>
      </c>
      <c r="BH42" s="24">
        <v>85.913564930731255</v>
      </c>
      <c r="BI42" s="24">
        <v>65.246209985696083</v>
      </c>
      <c r="BJ42" s="24">
        <v>2.6007687864327802</v>
      </c>
      <c r="BK42" s="24">
        <v>7.1504331674736443</v>
      </c>
      <c r="BL42" s="24">
        <v>5.6565355241349762</v>
      </c>
      <c r="BM42" s="24">
        <v>6.9240771301585298</v>
      </c>
      <c r="BN42" s="24">
        <v>8.5433778568757024</v>
      </c>
      <c r="BO42" s="24">
        <v>0.91938001473779085</v>
      </c>
      <c r="BP42" s="24">
        <v>5.7304951296499089</v>
      </c>
      <c r="BQ42" s="24">
        <v>45.657587598109288</v>
      </c>
      <c r="BR42" s="24">
        <v>64.951087796480238</v>
      </c>
      <c r="BS42" s="24">
        <v>69.210049995115895</v>
      </c>
      <c r="BT42" s="24">
        <v>95.207793349549917</v>
      </c>
      <c r="BU42" s="24">
        <v>79.369263884497158</v>
      </c>
      <c r="BV42" s="24">
        <v>3.7513008215653829</v>
      </c>
      <c r="BW42" s="24">
        <v>363.70209604857081</v>
      </c>
      <c r="BX42" s="24">
        <v>7.0533610723571041</v>
      </c>
      <c r="BY42" s="24">
        <v>5.567355346623188</v>
      </c>
      <c r="BZ42" s="24">
        <v>6.7627212637851164</v>
      </c>
      <c r="CA42" s="24">
        <v>8.425791970649529</v>
      </c>
      <c r="CB42" s="24">
        <v>1.4715196169050001E-4</v>
      </c>
      <c r="CC42" s="24">
        <v>0.71593945900829925</v>
      </c>
      <c r="CD42" s="24">
        <v>4.7618508728552564</v>
      </c>
      <c r="CE42" s="24">
        <v>7.6066040445609886</v>
      </c>
      <c r="CF42" s="24">
        <v>352.96198266955469</v>
      </c>
      <c r="CG42" s="24">
        <v>354.69238521823661</v>
      </c>
      <c r="CH42" s="24">
        <v>358.17185617747202</v>
      </c>
      <c r="CI42" s="24">
        <v>354.17593247563161</v>
      </c>
      <c r="CJ42" s="24">
        <v>354.60564318886361</v>
      </c>
      <c r="CK42" s="24">
        <v>354.69238521823661</v>
      </c>
      <c r="CL42" s="24">
        <v>355.03946673624603</v>
      </c>
      <c r="CM42" s="24">
        <v>355.81214470254798</v>
      </c>
      <c r="CN42" s="24">
        <v>356.63366210632893</v>
      </c>
      <c r="CO42" s="24">
        <v>357.54139105496199</v>
      </c>
      <c r="CP42" s="24">
        <v>357.94260133489757</v>
      </c>
      <c r="CQ42" s="24">
        <v>358.61736660868382</v>
      </c>
      <c r="CR42" s="24">
        <v>360.01354841889491</v>
      </c>
      <c r="CS42" s="24">
        <v>362.15339015291329</v>
      </c>
      <c r="CT42" s="24">
        <v>363.47598824042768</v>
      </c>
      <c r="CU42" s="24">
        <v>366.77880525925121</v>
      </c>
      <c r="CV42" s="24">
        <v>380.61242206617351</v>
      </c>
      <c r="CW42" s="24">
        <v>412.78793194183442</v>
      </c>
      <c r="CX42" s="24">
        <v>418.71962626937591</v>
      </c>
      <c r="CY42" s="24">
        <v>5.8578250986648941</v>
      </c>
      <c r="CZ42" s="24">
        <v>5.9471110724377407</v>
      </c>
      <c r="DA42" s="24">
        <v>5.9713965458293261</v>
      </c>
      <c r="DB42" s="24">
        <v>6.1002293418322084</v>
      </c>
      <c r="DC42" s="24">
        <v>6.4198238849315299</v>
      </c>
      <c r="DD42" s="24">
        <v>6.8606934728944493</v>
      </c>
      <c r="DE42" s="24">
        <v>7.5051196272441096</v>
      </c>
      <c r="DF42" s="24">
        <v>7.8529924727757994</v>
      </c>
      <c r="DG42" s="24">
        <v>8.5216594272678492</v>
      </c>
      <c r="DH42" s="24">
        <v>10.33237550678898</v>
      </c>
      <c r="DI42" s="24">
        <v>14.186270320289809</v>
      </c>
      <c r="DJ42" s="24">
        <v>16.992636651420209</v>
      </c>
      <c r="DK42" s="24">
        <v>24.17319779089085</v>
      </c>
      <c r="DL42" s="24">
        <v>42.324082261708682</v>
      </c>
      <c r="DM42" s="24">
        <v>61.967426033978853</v>
      </c>
      <c r="DN42" s="24">
        <v>66.211813182201197</v>
      </c>
      <c r="DO42" s="24">
        <v>1036.7772188014269</v>
      </c>
    </row>
    <row r="43" spans="1:119" x14ac:dyDescent="0.3">
      <c r="A43" s="24" t="s">
        <v>440</v>
      </c>
      <c r="B43" s="24" t="s">
        <v>428</v>
      </c>
      <c r="C43" s="24" t="s">
        <v>54</v>
      </c>
      <c r="D43" s="24">
        <v>6.0000000000000001E-3</v>
      </c>
      <c r="E43" s="24">
        <v>8.0000000000000007E-5</v>
      </c>
      <c r="F43" s="24">
        <v>3.0400992000000002E-3</v>
      </c>
      <c r="G43" s="24">
        <v>8.75</v>
      </c>
      <c r="H43" s="24">
        <v>7.4999999999999997E-2</v>
      </c>
      <c r="I43" s="24">
        <v>2.67</v>
      </c>
      <c r="J43" s="24">
        <v>293.14999999999998</v>
      </c>
      <c r="K43" s="24">
        <v>423.15</v>
      </c>
      <c r="L43" s="24">
        <v>80</v>
      </c>
      <c r="M43" s="24">
        <v>0.3</v>
      </c>
      <c r="N43" s="24">
        <v>0.17783613999025741</v>
      </c>
      <c r="O43" s="24">
        <v>3.3553271734878501E-2</v>
      </c>
      <c r="P43" s="24">
        <v>30.068591858242581</v>
      </c>
      <c r="Q43" s="24">
        <v>41.794983370936343</v>
      </c>
      <c r="R43" s="24">
        <v>50.367852251167243</v>
      </c>
      <c r="S43" s="24">
        <v>85.785620650057751</v>
      </c>
      <c r="T43" s="24">
        <v>61.683219052191838</v>
      </c>
      <c r="U43" s="24">
        <v>2.516353646784466</v>
      </c>
      <c r="V43" s="24">
        <v>363.13069993082121</v>
      </c>
      <c r="W43" s="24">
        <v>7.0922409384404084</v>
      </c>
      <c r="X43" s="24">
        <v>5.6269076661469066</v>
      </c>
      <c r="Y43" s="24">
        <v>6.9605479562031407</v>
      </c>
      <c r="Z43" s="24">
        <v>8.4350318241307125</v>
      </c>
      <c r="AA43" s="24">
        <v>7.69994735378E-4</v>
      </c>
      <c r="AB43" s="24">
        <v>1.106202196471936</v>
      </c>
      <c r="AC43" s="24">
        <v>4.3198134140016409</v>
      </c>
      <c r="AD43" s="24">
        <v>7.4549396796585201</v>
      </c>
      <c r="AE43" s="24">
        <v>4.5</v>
      </c>
      <c r="AF43" s="24">
        <v>0.15573506396288531</v>
      </c>
      <c r="AG43" s="24">
        <v>3.2463998375775502E-2</v>
      </c>
      <c r="AH43" s="24">
        <v>91.52002347442324</v>
      </c>
      <c r="AI43" s="24">
        <v>81.484632735768571</v>
      </c>
      <c r="AJ43" s="24"/>
      <c r="AK43" s="24"/>
      <c r="AL43" s="24">
        <v>7.3766600687278263</v>
      </c>
      <c r="AM43" s="24">
        <v>52.914062484499247</v>
      </c>
      <c r="AN43" s="24">
        <v>62.710674424021313</v>
      </c>
      <c r="AO43" s="24">
        <v>83.959002894933207</v>
      </c>
      <c r="AP43" s="24">
        <v>52.914062484499247</v>
      </c>
      <c r="AQ43" s="24">
        <v>37.275693198500413</v>
      </c>
      <c r="AR43" s="24">
        <v>0.70393224064568161</v>
      </c>
      <c r="AS43" s="24">
        <v>9.1063120763546497</v>
      </c>
      <c r="AT43" s="24">
        <v>92.453961410688834</v>
      </c>
      <c r="AU43" s="24">
        <v>3.5675473674025442</v>
      </c>
      <c r="AV43" s="24">
        <v>9.8593240556660025</v>
      </c>
      <c r="AW43" s="24">
        <v>9.9490106073180833</v>
      </c>
      <c r="AX43" s="24">
        <v>4.8116039331766043</v>
      </c>
      <c r="AY43" s="24">
        <v>3.9648885103779739</v>
      </c>
      <c r="AZ43" s="24">
        <v>7.8236203227127383</v>
      </c>
      <c r="BA43" s="24">
        <v>88.114607017584561</v>
      </c>
      <c r="BB43" s="24">
        <v>126.5759828984193</v>
      </c>
      <c r="BC43" s="24">
        <v>7.9673849322845367</v>
      </c>
      <c r="BD43" s="24">
        <v>14.7110902064501</v>
      </c>
      <c r="BE43" s="24">
        <v>30.153945083615181</v>
      </c>
      <c r="BF43" s="24">
        <v>44.518031449574814</v>
      </c>
      <c r="BG43" s="24">
        <v>58.013725960225727</v>
      </c>
      <c r="BH43" s="24">
        <v>85.883739036665091</v>
      </c>
      <c r="BI43" s="24">
        <v>64.924032026509693</v>
      </c>
      <c r="BJ43" s="24">
        <v>2.5992334470558158</v>
      </c>
      <c r="BK43" s="24">
        <v>7.1073993004067608</v>
      </c>
      <c r="BL43" s="24">
        <v>5.6328157467699134</v>
      </c>
      <c r="BM43" s="24">
        <v>6.9809541646203774</v>
      </c>
      <c r="BN43" s="24">
        <v>8.5045942866631439</v>
      </c>
      <c r="BO43" s="24">
        <v>0.96063117875342663</v>
      </c>
      <c r="BP43" s="24">
        <v>7.9673849322845376</v>
      </c>
      <c r="BQ43" s="24">
        <v>48.754676312343058</v>
      </c>
      <c r="BR43" s="24">
        <v>67.554938284872861</v>
      </c>
      <c r="BS43" s="24">
        <v>69.96542549658659</v>
      </c>
      <c r="BT43" s="24">
        <v>104.3067341237567</v>
      </c>
      <c r="BU43" s="24">
        <v>81.703700166254549</v>
      </c>
      <c r="BV43" s="24">
        <v>3.9217726361737082</v>
      </c>
      <c r="BW43" s="24">
        <v>351.4974273791596</v>
      </c>
      <c r="BX43" s="24">
        <v>7.1867385676530331</v>
      </c>
      <c r="BY43" s="24">
        <v>5.6386002960069108</v>
      </c>
      <c r="BZ43" s="24">
        <v>7.0934724323322271</v>
      </c>
      <c r="CA43" s="24">
        <v>8.6845479099290781</v>
      </c>
      <c r="CB43" s="24">
        <v>1.420350108676E-4</v>
      </c>
      <c r="CC43" s="24">
        <v>0.79399299607095009</v>
      </c>
      <c r="CD43" s="24">
        <v>2.1072021822998521</v>
      </c>
      <c r="CE43" s="24">
        <v>10.649536931123359</v>
      </c>
      <c r="CF43" s="24">
        <v>341.62612324877227</v>
      </c>
      <c r="CG43" s="24">
        <v>342.9242582523504</v>
      </c>
      <c r="CH43" s="24">
        <v>345.84629386721468</v>
      </c>
      <c r="CI43" s="24">
        <v>342.48435369345549</v>
      </c>
      <c r="CJ43" s="24">
        <v>342.84986287845328</v>
      </c>
      <c r="CK43" s="24">
        <v>342.9242582523504</v>
      </c>
      <c r="CL43" s="24">
        <v>343.22593648007648</v>
      </c>
      <c r="CM43" s="24">
        <v>343.89751184170677</v>
      </c>
      <c r="CN43" s="24">
        <v>344.63503107024292</v>
      </c>
      <c r="CO43" s="24">
        <v>345.50194122162583</v>
      </c>
      <c r="CP43" s="24">
        <v>345.90159520691162</v>
      </c>
      <c r="CQ43" s="24">
        <v>346.58663848201388</v>
      </c>
      <c r="CR43" s="24">
        <v>348.09103524711219</v>
      </c>
      <c r="CS43" s="24">
        <v>350.56284421813439</v>
      </c>
      <c r="CT43" s="24">
        <v>352.17773469933422</v>
      </c>
      <c r="CU43" s="24">
        <v>356.17689230934502</v>
      </c>
      <c r="CV43" s="24">
        <v>373.9760867330121</v>
      </c>
      <c r="CW43" s="24">
        <v>412.18107716734301</v>
      </c>
      <c r="CX43" s="24">
        <v>418.39477212712058</v>
      </c>
      <c r="CY43" s="24">
        <v>8.1221352341934789</v>
      </c>
      <c r="CZ43" s="24">
        <v>8.2298163206801753</v>
      </c>
      <c r="DA43" s="24">
        <v>8.2591447160858493</v>
      </c>
      <c r="DB43" s="24">
        <v>8.4128585289775106</v>
      </c>
      <c r="DC43" s="24">
        <v>8.7920189582349693</v>
      </c>
      <c r="DD43" s="24">
        <v>9.3147644467234922</v>
      </c>
      <c r="DE43" s="24">
        <v>10.080407608691459</v>
      </c>
      <c r="DF43" s="24">
        <v>10.4928009085566</v>
      </c>
      <c r="DG43" s="24">
        <v>11.281201004506141</v>
      </c>
      <c r="DH43" s="24">
        <v>13.38103352279205</v>
      </c>
      <c r="DI43" s="24">
        <v>17.572615353538438</v>
      </c>
      <c r="DJ43" s="24">
        <v>20.515733215061729</v>
      </c>
      <c r="DK43" s="24">
        <v>27.448282433463849</v>
      </c>
      <c r="DL43" s="24">
        <v>44.730300922255687</v>
      </c>
      <c r="DM43" s="24">
        <v>62.346317454256969</v>
      </c>
      <c r="DN43" s="24">
        <v>66.442235204331098</v>
      </c>
      <c r="DO43" s="24">
        <v>897.82081712805223</v>
      </c>
    </row>
    <row r="44" spans="1:119" x14ac:dyDescent="0.3">
      <c r="A44" s="24" t="s">
        <v>441</v>
      </c>
      <c r="B44" s="24" t="s">
        <v>431</v>
      </c>
      <c r="C44" s="24" t="s">
        <v>54</v>
      </c>
      <c r="D44" s="24">
        <v>6.0000000000000001E-3</v>
      </c>
      <c r="E44" s="24">
        <v>8.0000000000000007E-5</v>
      </c>
      <c r="F44" s="24">
        <v>3.0400992000000002E-3</v>
      </c>
      <c r="G44" s="24">
        <v>8.75</v>
      </c>
      <c r="H44" s="24">
        <v>7.4999999999999997E-2</v>
      </c>
      <c r="I44" s="24">
        <v>2.67</v>
      </c>
      <c r="J44" s="24">
        <v>293.14999999999998</v>
      </c>
      <c r="K44" s="24">
        <v>423.15</v>
      </c>
      <c r="L44" s="24">
        <v>80</v>
      </c>
      <c r="M44" s="24">
        <v>0.3</v>
      </c>
      <c r="N44" s="24">
        <v>0.17608076292346139</v>
      </c>
      <c r="O44" s="24">
        <v>3.3500721014026298E-2</v>
      </c>
      <c r="P44" s="24">
        <v>21.659427957241562</v>
      </c>
      <c r="Q44" s="24">
        <v>41.097115336908793</v>
      </c>
      <c r="R44" s="24">
        <v>50.317930209877119</v>
      </c>
      <c r="S44" s="24">
        <v>85.756327752623619</v>
      </c>
      <c r="T44" s="24">
        <v>61.091022883505872</v>
      </c>
      <c r="U44" s="24">
        <v>2.475976921230969</v>
      </c>
      <c r="V44" s="24">
        <v>364.39776374178581</v>
      </c>
      <c r="W44" s="24">
        <v>7.4108735281471541</v>
      </c>
      <c r="X44" s="24">
        <v>5.6844676236265963</v>
      </c>
      <c r="Y44" s="24">
        <v>7.0509249039165587</v>
      </c>
      <c r="Z44" s="24">
        <v>9.3255494668108305</v>
      </c>
      <c r="AA44" s="24">
        <v>7.1076518061259999E-4</v>
      </c>
      <c r="AB44" s="24">
        <v>1.2738381632160261</v>
      </c>
      <c r="AC44" s="24">
        <v>4.7877188578535614</v>
      </c>
      <c r="AD44" s="24">
        <v>7.1925840394031466</v>
      </c>
      <c r="AE44" s="24">
        <v>4.5</v>
      </c>
      <c r="AF44" s="24">
        <v>0.2205186908238746</v>
      </c>
      <c r="AG44" s="24">
        <v>3.2414801782776601E-2</v>
      </c>
      <c r="AH44" s="24">
        <v>88.517772365907632</v>
      </c>
      <c r="AI44" s="24">
        <v>78.786578445865658</v>
      </c>
      <c r="AJ44" s="24"/>
      <c r="AK44" s="24"/>
      <c r="AL44" s="24">
        <v>7.3809118953285688</v>
      </c>
      <c r="AM44" s="24">
        <v>52.952109118465017</v>
      </c>
      <c r="AN44" s="24">
        <v>62.562168397607202</v>
      </c>
      <c r="AO44" s="24">
        <v>77.380167338463565</v>
      </c>
      <c r="AP44" s="24">
        <v>52.952109118465017</v>
      </c>
      <c r="AQ44" s="24">
        <v>37.240280418078882</v>
      </c>
      <c r="AR44" s="24">
        <v>0.72037606325939774</v>
      </c>
      <c r="AS44" s="24">
        <v>9.0872344001967065</v>
      </c>
      <c r="AT44" s="24">
        <v>91.318463181957242</v>
      </c>
      <c r="AU44" s="24">
        <v>3.5637306410606242</v>
      </c>
      <c r="AV44" s="24">
        <v>9.8593240556660025</v>
      </c>
      <c r="AW44" s="24">
        <v>9.9596659162304562</v>
      </c>
      <c r="AX44" s="24">
        <v>4.8088321746343752</v>
      </c>
      <c r="AY44" s="24">
        <v>4.2064090879039</v>
      </c>
      <c r="AZ44" s="24">
        <v>9.0702952953123201</v>
      </c>
      <c r="BA44" s="24">
        <v>88.632517344486644</v>
      </c>
      <c r="BB44" s="24">
        <v>128.63132959331611</v>
      </c>
      <c r="BC44" s="24">
        <v>7.8688187549765249</v>
      </c>
      <c r="BD44" s="24">
        <v>14.81848773283304</v>
      </c>
      <c r="BE44" s="24">
        <v>30.967651325234559</v>
      </c>
      <c r="BF44" s="24">
        <v>44.723286644639948</v>
      </c>
      <c r="BG44" s="24">
        <v>58.009357115848182</v>
      </c>
      <c r="BH44" s="24">
        <v>85.894425532452004</v>
      </c>
      <c r="BI44" s="24">
        <v>65.041932102757968</v>
      </c>
      <c r="BJ44" s="24">
        <v>2.6165149566683761</v>
      </c>
      <c r="BK44" s="24">
        <v>7.317789938501897</v>
      </c>
      <c r="BL44" s="24">
        <v>5.6375852617773123</v>
      </c>
      <c r="BM44" s="24">
        <v>7.0031976674550727</v>
      </c>
      <c r="BN44" s="24">
        <v>9.1627842767461996</v>
      </c>
      <c r="BO44" s="24">
        <v>0.94686059177531257</v>
      </c>
      <c r="BP44" s="24">
        <v>7.8688187549765232</v>
      </c>
      <c r="BQ44" s="24">
        <v>42.396890557252</v>
      </c>
      <c r="BR44" s="24">
        <v>64.058822105016461</v>
      </c>
      <c r="BS44" s="24">
        <v>67.300273187924716</v>
      </c>
      <c r="BT44" s="24">
        <v>95.196555742649295</v>
      </c>
      <c r="BU44" s="24">
        <v>78.61814926008465</v>
      </c>
      <c r="BV44" s="24">
        <v>3.700248830722479</v>
      </c>
      <c r="BW44" s="24">
        <v>352.83602304975062</v>
      </c>
      <c r="BX44" s="24">
        <v>6.9993603616349249</v>
      </c>
      <c r="BY44" s="24">
        <v>5.5231323119323807</v>
      </c>
      <c r="BZ44" s="24">
        <v>6.803157046328363</v>
      </c>
      <c r="CA44" s="24">
        <v>8.3932678184373337</v>
      </c>
      <c r="CB44" s="24">
        <v>2.010785958133E-4</v>
      </c>
      <c r="CC44" s="24">
        <v>0.78453864574907584</v>
      </c>
      <c r="CD44" s="24">
        <v>2.2178069639510918</v>
      </c>
      <c r="CE44" s="24">
        <v>10.18214954898038</v>
      </c>
      <c r="CF44" s="24">
        <v>341.81918108311061</v>
      </c>
      <c r="CG44" s="24">
        <v>343.30720205848041</v>
      </c>
      <c r="CH44" s="24">
        <v>346.21660522799658</v>
      </c>
      <c r="CI44" s="24">
        <v>342.85947623332959</v>
      </c>
      <c r="CJ44" s="24">
        <v>343.2297379887014</v>
      </c>
      <c r="CK44" s="24">
        <v>343.30720205848041</v>
      </c>
      <c r="CL44" s="24">
        <v>343.6198015454363</v>
      </c>
      <c r="CM44" s="24">
        <v>344.31391732718049</v>
      </c>
      <c r="CN44" s="24">
        <v>345.05819442478469</v>
      </c>
      <c r="CO44" s="24">
        <v>345.89454562048701</v>
      </c>
      <c r="CP44" s="24">
        <v>346.27166921075639</v>
      </c>
      <c r="CQ44" s="24">
        <v>346.91921673704672</v>
      </c>
      <c r="CR44" s="24">
        <v>348.34162846409811</v>
      </c>
      <c r="CS44" s="24">
        <v>350.70030126438928</v>
      </c>
      <c r="CT44" s="24">
        <v>352.26204765739573</v>
      </c>
      <c r="CU44" s="24">
        <v>356.12922803438812</v>
      </c>
      <c r="CV44" s="24">
        <v>371.90274298740701</v>
      </c>
      <c r="CW44" s="24">
        <v>410.74511303142839</v>
      </c>
      <c r="CX44" s="24">
        <v>418.26096272661482</v>
      </c>
      <c r="CY44" s="24">
        <v>8.0332653552409514</v>
      </c>
      <c r="CZ44" s="24">
        <v>8.1397906495321646</v>
      </c>
      <c r="DA44" s="24">
        <v>8.168895424321267</v>
      </c>
      <c r="DB44" s="24">
        <v>8.3222501696075479</v>
      </c>
      <c r="DC44" s="24">
        <v>8.6952406329417844</v>
      </c>
      <c r="DD44" s="24">
        <v>9.2003505893756952</v>
      </c>
      <c r="DE44" s="24">
        <v>9.9300954579170089</v>
      </c>
      <c r="DF44" s="24">
        <v>10.321298342981271</v>
      </c>
      <c r="DG44" s="24">
        <v>11.0764583768197</v>
      </c>
      <c r="DH44" s="24">
        <v>13.08877801351321</v>
      </c>
      <c r="DI44" s="24">
        <v>17.147469421370559</v>
      </c>
      <c r="DJ44" s="24">
        <v>20.05795721253736</v>
      </c>
      <c r="DK44" s="24">
        <v>27.00627171968608</v>
      </c>
      <c r="DL44" s="24">
        <v>43.09051779071099</v>
      </c>
      <c r="DM44" s="24">
        <v>62.664242862117113</v>
      </c>
      <c r="DN44" s="24">
        <v>66.518017063386367</v>
      </c>
      <c r="DO44" s="24">
        <v>895.93988721335006</v>
      </c>
    </row>
    <row r="45" spans="1:119" x14ac:dyDescent="0.3">
      <c r="A45" s="24" t="s">
        <v>442</v>
      </c>
      <c r="B45" s="24" t="s">
        <v>428</v>
      </c>
      <c r="C45" s="24" t="s">
        <v>54</v>
      </c>
      <c r="D45" s="24">
        <v>6.0000000000000001E-3</v>
      </c>
      <c r="E45" s="24">
        <v>5.5000000000000002E-5</v>
      </c>
      <c r="F45" s="24">
        <v>1.8296893333333E-3</v>
      </c>
      <c r="G45" s="24">
        <v>8.75</v>
      </c>
      <c r="H45" s="24">
        <v>7.4999999999999997E-2</v>
      </c>
      <c r="I45" s="24">
        <v>3.052</v>
      </c>
      <c r="J45" s="24">
        <v>293.14999999999998</v>
      </c>
      <c r="K45" s="24">
        <v>403.15</v>
      </c>
      <c r="L45" s="24">
        <v>80</v>
      </c>
      <c r="M45" s="24">
        <v>0.3</v>
      </c>
      <c r="N45" s="24">
        <v>9.3299813918934701E-2</v>
      </c>
      <c r="O45" s="24">
        <v>2.2876327434123801E-2</v>
      </c>
      <c r="P45" s="24">
        <v>16.372325852425181</v>
      </c>
      <c r="Q45" s="24">
        <v>31.255901391065329</v>
      </c>
      <c r="R45" s="24">
        <v>36.65153559771322</v>
      </c>
      <c r="S45" s="24">
        <v>57.335247686286877</v>
      </c>
      <c r="T45" s="24">
        <v>43.257281972946927</v>
      </c>
      <c r="U45" s="24">
        <v>2.8391754410407981</v>
      </c>
      <c r="V45" s="24">
        <v>365.4125158562253</v>
      </c>
      <c r="W45" s="24">
        <v>7.7226026066842932</v>
      </c>
      <c r="X45" s="24">
        <v>6.4954059273750264</v>
      </c>
      <c r="Y45" s="24">
        <v>7.4585244422532577</v>
      </c>
      <c r="Z45" s="24">
        <v>9.2601034655992862</v>
      </c>
      <c r="AA45" s="24">
        <v>5.0121071428800004E-4</v>
      </c>
      <c r="AB45" s="24">
        <v>1.1176318035748951</v>
      </c>
      <c r="AC45" s="24">
        <v>6.6574976759892381</v>
      </c>
      <c r="AD45" s="24">
        <v>3.9656509309319832</v>
      </c>
      <c r="AE45" s="24">
        <v>3.3</v>
      </c>
      <c r="AF45" s="24">
        <v>8.6892852572994395E-2</v>
      </c>
      <c r="AG45" s="24">
        <v>2.23647051169019E-2</v>
      </c>
      <c r="AH45" s="24">
        <v>46.496407232868478</v>
      </c>
      <c r="AI45" s="24">
        <v>22.716209468754201</v>
      </c>
      <c r="AJ45" s="24"/>
      <c r="AK45" s="24"/>
      <c r="AL45" s="24">
        <v>4.5270405095659276</v>
      </c>
      <c r="AM45" s="24">
        <v>38.561977507568557</v>
      </c>
      <c r="AN45" s="24">
        <v>50.011919585891178</v>
      </c>
      <c r="AO45" s="24">
        <v>91.194608888732361</v>
      </c>
      <c r="AP45" s="24">
        <v>38.561977507568557</v>
      </c>
      <c r="AQ45" s="24">
        <v>49.852661969821831</v>
      </c>
      <c r="AR45" s="24">
        <v>0.54700917288169892</v>
      </c>
      <c r="AS45" s="24">
        <v>11.038351349727909</v>
      </c>
      <c r="AT45" s="24">
        <v>99.998828805082596</v>
      </c>
      <c r="AU45" s="24">
        <v>2.0602840096535719</v>
      </c>
      <c r="AV45" s="24">
        <v>8.3425049701789256</v>
      </c>
      <c r="AW45" s="24">
        <v>14.57712516911397</v>
      </c>
      <c r="AX45" s="24">
        <v>6.6341394182761206</v>
      </c>
      <c r="AY45" s="24">
        <v>6.4838300157259203</v>
      </c>
      <c r="AZ45" s="24">
        <v>9.3108917752992379</v>
      </c>
      <c r="BA45" s="24">
        <v>91.69462989183468</v>
      </c>
      <c r="BB45" s="24">
        <v>116.39989229255519</v>
      </c>
      <c r="BC45" s="24">
        <v>4.0877631073656371</v>
      </c>
      <c r="BD45" s="24">
        <v>6.509276127070672</v>
      </c>
      <c r="BE45" s="24">
        <v>16.485633502574181</v>
      </c>
      <c r="BF45" s="24">
        <v>32.157460040103153</v>
      </c>
      <c r="BG45" s="24">
        <v>36.666209753071627</v>
      </c>
      <c r="BH45" s="24">
        <v>57.368690886420012</v>
      </c>
      <c r="BI45" s="24">
        <v>44.252246020429467</v>
      </c>
      <c r="BJ45" s="24">
        <v>2.8587486952083361</v>
      </c>
      <c r="BK45" s="24">
        <v>7.8059492911404069</v>
      </c>
      <c r="BL45" s="24">
        <v>6.5237079421750988</v>
      </c>
      <c r="BM45" s="24">
        <v>7.5264862355087363</v>
      </c>
      <c r="BN45" s="24">
        <v>9.4125871830071581</v>
      </c>
      <c r="BO45" s="24">
        <v>1.115006368511295</v>
      </c>
      <c r="BP45" s="24">
        <v>4.0877631073656371</v>
      </c>
      <c r="BQ45" s="24">
        <v>36.563373859161061</v>
      </c>
      <c r="BR45" s="24">
        <v>45.856196018395863</v>
      </c>
      <c r="BS45" s="24">
        <v>47.015895117479893</v>
      </c>
      <c r="BT45" s="24">
        <v>67.566556806792633</v>
      </c>
      <c r="BU45" s="24">
        <v>54.271968723269808</v>
      </c>
      <c r="BV45" s="24">
        <v>4.2854173478218751</v>
      </c>
      <c r="BW45" s="24">
        <v>358.9632172706813</v>
      </c>
      <c r="BX45" s="24">
        <v>8.6691441447365687</v>
      </c>
      <c r="BY45" s="24">
        <v>7.1820455984348488</v>
      </c>
      <c r="BZ45" s="24">
        <v>8.4023976509713734</v>
      </c>
      <c r="CA45" s="24">
        <v>9.6983625615015825</v>
      </c>
      <c r="CB45" s="24">
        <v>4.7696076881398781E-5</v>
      </c>
      <c r="CC45" s="24">
        <v>0.65941917877269129</v>
      </c>
      <c r="CD45" s="24">
        <v>4.6852098120113492</v>
      </c>
      <c r="CE45" s="24">
        <v>5.3524397162409612</v>
      </c>
      <c r="CF45" s="24">
        <v>348.13688845551968</v>
      </c>
      <c r="CG45" s="24">
        <v>349.5880917299329</v>
      </c>
      <c r="CH45" s="24">
        <v>352.74555150362329</v>
      </c>
      <c r="CI45" s="24">
        <v>349.12210741986831</v>
      </c>
      <c r="CJ45" s="24">
        <v>349.51298794909019</v>
      </c>
      <c r="CK45" s="24">
        <v>349.5880917299329</v>
      </c>
      <c r="CL45" s="24">
        <v>349.89566825122512</v>
      </c>
      <c r="CM45" s="24">
        <v>350.56482782182138</v>
      </c>
      <c r="CN45" s="24">
        <v>351.27054806265647</v>
      </c>
      <c r="CO45" s="24">
        <v>352.04402340998507</v>
      </c>
      <c r="CP45" s="24">
        <v>352.37791869513131</v>
      </c>
      <c r="CQ45" s="24">
        <v>352.91841511879801</v>
      </c>
      <c r="CR45" s="24">
        <v>353.93606100723281</v>
      </c>
      <c r="CS45" s="24">
        <v>355.17052333481638</v>
      </c>
      <c r="CT45" s="24">
        <v>355.7821699921538</v>
      </c>
      <c r="CU45" s="24">
        <v>357.09253089781907</v>
      </c>
      <c r="CV45" s="24">
        <v>365.58814549049038</v>
      </c>
      <c r="CW45" s="24">
        <v>393.90503333331162</v>
      </c>
      <c r="CX45" s="24">
        <v>399.10300160041038</v>
      </c>
      <c r="CY45" s="24">
        <v>4.1308984097926968</v>
      </c>
      <c r="CZ45" s="24">
        <v>4.1663415409210396</v>
      </c>
      <c r="DA45" s="24">
        <v>4.1760979780083591</v>
      </c>
      <c r="DB45" s="24">
        <v>4.2280984271795177</v>
      </c>
      <c r="DC45" s="24">
        <v>4.3578252211419617</v>
      </c>
      <c r="DD45" s="24">
        <v>4.5360177823250556</v>
      </c>
      <c r="DE45" s="24">
        <v>4.792685389710476</v>
      </c>
      <c r="DF45" s="24">
        <v>4.9299502097286254</v>
      </c>
      <c r="DG45" s="24">
        <v>5.1912103000249203</v>
      </c>
      <c r="DH45" s="24">
        <v>5.8878864607297183</v>
      </c>
      <c r="DI45" s="24">
        <v>7.3389504691707073</v>
      </c>
      <c r="DJ45" s="24">
        <v>8.467668408059021</v>
      </c>
      <c r="DK45" s="24">
        <v>11.83162238937758</v>
      </c>
      <c r="DL45" s="24">
        <v>28.359322619247411</v>
      </c>
      <c r="DM45" s="24">
        <v>57.171006697056526</v>
      </c>
      <c r="DN45" s="24">
        <v>64.008246998866809</v>
      </c>
      <c r="DO45" s="24">
        <v>920.87500997686323</v>
      </c>
    </row>
    <row r="46" spans="1:119" x14ac:dyDescent="0.3">
      <c r="A46" s="24" t="s">
        <v>443</v>
      </c>
      <c r="B46" s="24" t="s">
        <v>431</v>
      </c>
      <c r="C46" s="24" t="s">
        <v>54</v>
      </c>
      <c r="D46" s="24">
        <v>6.0000000000000001E-3</v>
      </c>
      <c r="E46" s="24">
        <v>5.5000000000000002E-5</v>
      </c>
      <c r="F46" s="24">
        <v>1.8296893333333E-3</v>
      </c>
      <c r="G46" s="24">
        <v>8.75</v>
      </c>
      <c r="H46" s="24">
        <v>7.4999999999999997E-2</v>
      </c>
      <c r="I46" s="24">
        <v>3.052</v>
      </c>
      <c r="J46" s="24">
        <v>293.14999999999998</v>
      </c>
      <c r="K46" s="24">
        <v>403.15</v>
      </c>
      <c r="L46" s="24">
        <v>80</v>
      </c>
      <c r="M46" s="24">
        <v>0.3</v>
      </c>
      <c r="N46" s="24">
        <v>9.30653384515258E-2</v>
      </c>
      <c r="O46" s="24">
        <v>2.2879922750646601E-2</v>
      </c>
      <c r="P46" s="24">
        <v>16.38007550892474</v>
      </c>
      <c r="Q46" s="24">
        <v>31.243802529296019</v>
      </c>
      <c r="R46" s="24">
        <v>36.651853644319608</v>
      </c>
      <c r="S46" s="24">
        <v>57.34320534821704</v>
      </c>
      <c r="T46" s="24">
        <v>43.224779485608842</v>
      </c>
      <c r="U46" s="24">
        <v>2.8400213829015342</v>
      </c>
      <c r="V46" s="24">
        <v>365.79077754583068</v>
      </c>
      <c r="W46" s="24">
        <v>8.1065865344758823</v>
      </c>
      <c r="X46" s="24">
        <v>6.8008854319530947</v>
      </c>
      <c r="Y46" s="24">
        <v>7.7944683890925308</v>
      </c>
      <c r="Z46" s="24">
        <v>9.5834743644265235</v>
      </c>
      <c r="AA46" s="24">
        <v>5.0334054225260004E-4</v>
      </c>
      <c r="AB46" s="24">
        <v>1.1176277804885559</v>
      </c>
      <c r="AC46" s="24">
        <v>6.9722420031334984</v>
      </c>
      <c r="AD46" s="24">
        <v>3.8949838494947731</v>
      </c>
      <c r="AE46" s="24">
        <v>3.3</v>
      </c>
      <c r="AF46" s="24">
        <v>8.3012723701856403E-2</v>
      </c>
      <c r="AG46" s="24">
        <v>2.2368141403264399E-2</v>
      </c>
      <c r="AH46" s="24">
        <v>44.289090502734183</v>
      </c>
      <c r="AI46" s="24">
        <v>20.791945242086651</v>
      </c>
      <c r="AJ46" s="24"/>
      <c r="AK46" s="24"/>
      <c r="AL46" s="24">
        <v>4.5286472018263861</v>
      </c>
      <c r="AM46" s="24">
        <v>38.577471383300157</v>
      </c>
      <c r="AN46" s="24">
        <v>49.953944642459973</v>
      </c>
      <c r="AO46" s="24">
        <v>91.579299412060806</v>
      </c>
      <c r="AP46" s="24">
        <v>38.577471383300157</v>
      </c>
      <c r="AQ46" s="24">
        <v>49.907625735939099</v>
      </c>
      <c r="AR46" s="24">
        <v>0.54692494581845319</v>
      </c>
      <c r="AS46" s="24">
        <v>10.967977934942301</v>
      </c>
      <c r="AT46" s="24">
        <v>99.999125588183915</v>
      </c>
      <c r="AU46" s="24">
        <v>2.0588326577154938</v>
      </c>
      <c r="AV46" s="24">
        <v>8.3425049701789256</v>
      </c>
      <c r="AW46" s="24">
        <v>14.587401156716229</v>
      </c>
      <c r="AX46" s="24">
        <v>6.6317857307435926</v>
      </c>
      <c r="AY46" s="24">
        <v>6.7822274996491574</v>
      </c>
      <c r="AZ46" s="24">
        <v>9.8974938559076033</v>
      </c>
      <c r="BA46" s="24">
        <v>92.097106787183904</v>
      </c>
      <c r="BB46" s="24">
        <v>117.23338089857759</v>
      </c>
      <c r="BC46" s="24">
        <v>4.0201508075617376</v>
      </c>
      <c r="BD46" s="24">
        <v>6.3905154833343669</v>
      </c>
      <c r="BE46" s="24">
        <v>16.47138807035779</v>
      </c>
      <c r="BF46" s="24">
        <v>32.167436360351637</v>
      </c>
      <c r="BG46" s="24">
        <v>36.671782443553269</v>
      </c>
      <c r="BH46" s="24">
        <v>57.372901622138933</v>
      </c>
      <c r="BI46" s="24">
        <v>44.254286820824937</v>
      </c>
      <c r="BJ46" s="24">
        <v>2.8601944292384189</v>
      </c>
      <c r="BK46" s="24">
        <v>8.1961804553195385</v>
      </c>
      <c r="BL46" s="24">
        <v>6.8204304280537</v>
      </c>
      <c r="BM46" s="24">
        <v>7.86365293853589</v>
      </c>
      <c r="BN46" s="24">
        <v>9.7302830186348288</v>
      </c>
      <c r="BO46" s="24">
        <v>1.1153402105484911</v>
      </c>
      <c r="BP46" s="24">
        <v>4.0201508075617376</v>
      </c>
      <c r="BQ46" s="24">
        <v>36.57117446050885</v>
      </c>
      <c r="BR46" s="24">
        <v>47.409843644728802</v>
      </c>
      <c r="BS46" s="24">
        <v>47.033218492967983</v>
      </c>
      <c r="BT46" s="24">
        <v>67.570626871965601</v>
      </c>
      <c r="BU46" s="24">
        <v>55.029810907152338</v>
      </c>
      <c r="BV46" s="24">
        <v>4.4283247009014381</v>
      </c>
      <c r="BW46" s="24">
        <v>359.33441737758608</v>
      </c>
      <c r="BX46" s="24">
        <v>9.1705588240497242</v>
      </c>
      <c r="BY46" s="24">
        <v>7.3521116203514589</v>
      </c>
      <c r="BZ46" s="24">
        <v>8.6808506519379343</v>
      </c>
      <c r="CA46" s="24">
        <v>10.851104092723689</v>
      </c>
      <c r="CB46" s="24">
        <v>4.5566247691723283E-5</v>
      </c>
      <c r="CC46" s="24">
        <v>0.65909698304170994</v>
      </c>
      <c r="CD46" s="24">
        <v>4.7157254401708526</v>
      </c>
      <c r="CE46" s="24">
        <v>5.3814036165891972</v>
      </c>
      <c r="CF46" s="24">
        <v>348.20066089329401</v>
      </c>
      <c r="CG46" s="24">
        <v>349.58682130877111</v>
      </c>
      <c r="CH46" s="24">
        <v>352.84661437121031</v>
      </c>
      <c r="CI46" s="24">
        <v>349.11760116033042</v>
      </c>
      <c r="CJ46" s="24">
        <v>349.51040651004507</v>
      </c>
      <c r="CK46" s="24">
        <v>349.58682130877111</v>
      </c>
      <c r="CL46" s="24">
        <v>349.89064061383652</v>
      </c>
      <c r="CM46" s="24">
        <v>350.5579804677584</v>
      </c>
      <c r="CN46" s="24">
        <v>351.26788246537478</v>
      </c>
      <c r="CO46" s="24">
        <v>352.04642902473171</v>
      </c>
      <c r="CP46" s="24">
        <v>352.38017317634092</v>
      </c>
      <c r="CQ46" s="24">
        <v>352.91915948510177</v>
      </c>
      <c r="CR46" s="24">
        <v>353.93358147605619</v>
      </c>
      <c r="CS46" s="24">
        <v>355.1568851006212</v>
      </c>
      <c r="CT46" s="24">
        <v>355.75454976207823</v>
      </c>
      <c r="CU46" s="24">
        <v>357.02894182879629</v>
      </c>
      <c r="CV46" s="24">
        <v>365.17557280177499</v>
      </c>
      <c r="CW46" s="24">
        <v>393.6993895836481</v>
      </c>
      <c r="CX46" s="24">
        <v>399.04027850101028</v>
      </c>
      <c r="CY46" s="24">
        <v>4.0621118975463384</v>
      </c>
      <c r="CZ46" s="24">
        <v>4.0968445255209893</v>
      </c>
      <c r="DA46" s="24">
        <v>4.1061006814378747</v>
      </c>
      <c r="DB46" s="24">
        <v>4.155632974874961</v>
      </c>
      <c r="DC46" s="24">
        <v>4.2775491926925291</v>
      </c>
      <c r="DD46" s="24">
        <v>4.446609582653922</v>
      </c>
      <c r="DE46" s="24">
        <v>4.690653254362557</v>
      </c>
      <c r="DF46" s="24">
        <v>4.8203377575513873</v>
      </c>
      <c r="DG46" s="24">
        <v>5.06929325945862</v>
      </c>
      <c r="DH46" s="24">
        <v>5.7321303174832927</v>
      </c>
      <c r="DI46" s="24">
        <v>7.1188557575999249</v>
      </c>
      <c r="DJ46" s="24">
        <v>8.1850026222215746</v>
      </c>
      <c r="DK46" s="24">
        <v>11.37044480430141</v>
      </c>
      <c r="DL46" s="24">
        <v>27.846957863218289</v>
      </c>
      <c r="DM46" s="24">
        <v>56.939982007566172</v>
      </c>
      <c r="DN46" s="24">
        <v>63.913723570237103</v>
      </c>
      <c r="DO46" s="24">
        <v>915.00410435068898</v>
      </c>
    </row>
    <row r="47" spans="1:119" x14ac:dyDescent="0.3">
      <c r="A47" s="24" t="s">
        <v>444</v>
      </c>
      <c r="B47" s="24" t="s">
        <v>428</v>
      </c>
      <c r="C47" s="24" t="s">
        <v>54</v>
      </c>
      <c r="D47" s="24">
        <v>6.0000000000000001E-3</v>
      </c>
      <c r="E47" s="24">
        <v>8.0000000000000007E-5</v>
      </c>
      <c r="F47" s="24">
        <v>2.4208197333333002E-3</v>
      </c>
      <c r="G47" s="24">
        <v>8.75</v>
      </c>
      <c r="H47" s="24">
        <v>7.4999999999999997E-2</v>
      </c>
      <c r="I47" s="24">
        <v>2.67</v>
      </c>
      <c r="J47" s="24">
        <v>293.14999999999998</v>
      </c>
      <c r="K47" s="24">
        <v>403.15</v>
      </c>
      <c r="L47" s="24">
        <v>80</v>
      </c>
      <c r="M47" s="24">
        <v>0.3</v>
      </c>
      <c r="N47" s="24">
        <v>0.1785279918893074</v>
      </c>
      <c r="O47" s="24">
        <v>2.78529124167032E-2</v>
      </c>
      <c r="P47" s="24">
        <v>30.073095798255121</v>
      </c>
      <c r="Q47" s="24">
        <v>41.360890147796823</v>
      </c>
      <c r="R47" s="24">
        <v>50.315955003416327</v>
      </c>
      <c r="S47" s="24">
        <v>85.777051324406415</v>
      </c>
      <c r="T47" s="24">
        <v>61.443994204651993</v>
      </c>
      <c r="U47" s="24">
        <v>2.486507060123099</v>
      </c>
      <c r="V47" s="24">
        <v>354.51058483840808</v>
      </c>
      <c r="W47" s="24">
        <v>7.0415507550597898</v>
      </c>
      <c r="X47" s="24">
        <v>5.6246800484647288</v>
      </c>
      <c r="Y47" s="24">
        <v>6.9472028468700788</v>
      </c>
      <c r="Z47" s="24">
        <v>8.4007710570807976</v>
      </c>
      <c r="AA47" s="24">
        <v>6.0023362797579998E-4</v>
      </c>
      <c r="AB47" s="24">
        <v>1.1070833401128759</v>
      </c>
      <c r="AC47" s="24">
        <v>1.685116558264339</v>
      </c>
      <c r="AD47" s="24">
        <v>7.7959834113543582</v>
      </c>
      <c r="AE47" s="24">
        <v>4.5</v>
      </c>
      <c r="AF47" s="24">
        <v>0.17351184337700709</v>
      </c>
      <c r="AG47" s="24">
        <v>2.70981500176081E-2</v>
      </c>
      <c r="AH47" s="24">
        <v>92.779796864112683</v>
      </c>
      <c r="AI47" s="24">
        <v>84.175954084525657</v>
      </c>
      <c r="AJ47" s="24"/>
      <c r="AK47" s="24"/>
      <c r="AL47" s="24">
        <v>5.8631556665903259</v>
      </c>
      <c r="AM47" s="24">
        <v>49.554067041576872</v>
      </c>
      <c r="AN47" s="24">
        <v>59.650474266278792</v>
      </c>
      <c r="AO47" s="24">
        <v>82.184306770038035</v>
      </c>
      <c r="AP47" s="24">
        <v>49.554067041576872</v>
      </c>
      <c r="AQ47" s="24">
        <v>40.216118851336709</v>
      </c>
      <c r="AR47" s="24">
        <v>0.60481768913834033</v>
      </c>
      <c r="AS47" s="24">
        <v>9.6249964179480738</v>
      </c>
      <c r="AT47" s="24">
        <v>70.08117784183186</v>
      </c>
      <c r="AU47" s="24">
        <v>2.8515704431921591</v>
      </c>
      <c r="AV47" s="24">
        <v>8.3425049701789256</v>
      </c>
      <c r="AW47" s="24">
        <v>10.532097484859611</v>
      </c>
      <c r="AX47" s="24">
        <v>5.1223299534377897</v>
      </c>
      <c r="AY47" s="24">
        <v>1.525264440647857</v>
      </c>
      <c r="AZ47" s="24">
        <v>4.0625222615747276</v>
      </c>
      <c r="BA47" s="24">
        <v>79.80013172668923</v>
      </c>
      <c r="BB47" s="24">
        <v>110.56224640791351</v>
      </c>
      <c r="BC47" s="24">
        <v>8.3141951396703462</v>
      </c>
      <c r="BD47" s="24">
        <v>15.29379103362116</v>
      </c>
      <c r="BE47" s="24">
        <v>30.156543644047311</v>
      </c>
      <c r="BF47" s="24">
        <v>44.280846373342833</v>
      </c>
      <c r="BG47" s="24">
        <v>57.961321163834967</v>
      </c>
      <c r="BH47" s="24">
        <v>85.880791101631246</v>
      </c>
      <c r="BI47" s="24">
        <v>64.724175654487127</v>
      </c>
      <c r="BJ47" s="24">
        <v>2.5895679398248599</v>
      </c>
      <c r="BK47" s="24">
        <v>7.0790526226900354</v>
      </c>
      <c r="BL47" s="24">
        <v>5.6319286109128583</v>
      </c>
      <c r="BM47" s="24">
        <v>6.9787933696446514</v>
      </c>
      <c r="BN47" s="24">
        <v>8.4784576914738174</v>
      </c>
      <c r="BO47" s="24">
        <v>0.96140402493711863</v>
      </c>
      <c r="BP47" s="24">
        <v>8.3141951396703444</v>
      </c>
      <c r="BQ47" s="24">
        <v>48.668216079664973</v>
      </c>
      <c r="BR47" s="24">
        <v>65.666060027882722</v>
      </c>
      <c r="BS47" s="24">
        <v>67.303417603304609</v>
      </c>
      <c r="BT47" s="24">
        <v>95.209171456598327</v>
      </c>
      <c r="BU47" s="24">
        <v>79.91664845127579</v>
      </c>
      <c r="BV47" s="24">
        <v>3.7967748625207811</v>
      </c>
      <c r="BW47" s="24">
        <v>345.75171651048618</v>
      </c>
      <c r="BX47" s="24">
        <v>7.2520498198235241</v>
      </c>
      <c r="BY47" s="24">
        <v>5.7043343696421811</v>
      </c>
      <c r="BZ47" s="24">
        <v>7.1432740860087254</v>
      </c>
      <c r="CA47" s="24">
        <v>8.84224391691086</v>
      </c>
      <c r="CB47" s="24">
        <v>1.260122633487E-4</v>
      </c>
      <c r="CC47" s="24">
        <v>0.69150954044045709</v>
      </c>
      <c r="CD47" s="24">
        <v>0.78786201108990106</v>
      </c>
      <c r="CE47" s="24">
        <v>10.70472079039989</v>
      </c>
      <c r="CF47" s="24">
        <v>337.53447830709331</v>
      </c>
      <c r="CG47" s="24">
        <v>338.74464094029418</v>
      </c>
      <c r="CH47" s="24">
        <v>341.42923574003282</v>
      </c>
      <c r="CI47" s="24">
        <v>338.33860304331591</v>
      </c>
      <c r="CJ47" s="24">
        <v>338.67615681245383</v>
      </c>
      <c r="CK47" s="24">
        <v>338.74464094029418</v>
      </c>
      <c r="CL47" s="24">
        <v>339.02252633206018</v>
      </c>
      <c r="CM47" s="24">
        <v>339.64080189985049</v>
      </c>
      <c r="CN47" s="24">
        <v>340.318742853245</v>
      </c>
      <c r="CO47" s="24">
        <v>341.11193875362761</v>
      </c>
      <c r="CP47" s="24">
        <v>341.47624680688858</v>
      </c>
      <c r="CQ47" s="24">
        <v>342.10173063652968</v>
      </c>
      <c r="CR47" s="24">
        <v>343.47243767189468</v>
      </c>
      <c r="CS47" s="24">
        <v>345.69156656033431</v>
      </c>
      <c r="CT47" s="24">
        <v>347.11925491444617</v>
      </c>
      <c r="CU47" s="24">
        <v>350.55193062086857</v>
      </c>
      <c r="CV47" s="24">
        <v>364.99390028941127</v>
      </c>
      <c r="CW47" s="24">
        <v>394.37274395232151</v>
      </c>
      <c r="CX47" s="24">
        <v>399.33350695859929</v>
      </c>
      <c r="CY47" s="24">
        <v>8.490295521683823</v>
      </c>
      <c r="CZ47" s="24">
        <v>8.6087062411949571</v>
      </c>
      <c r="DA47" s="24">
        <v>8.6407901161628988</v>
      </c>
      <c r="DB47" s="24">
        <v>8.8094366321606508</v>
      </c>
      <c r="DC47" s="24">
        <v>9.2265298235150404</v>
      </c>
      <c r="DD47" s="24">
        <v>9.7997935365072308</v>
      </c>
      <c r="DE47" s="24">
        <v>10.637681185744929</v>
      </c>
      <c r="DF47" s="24">
        <v>11.08885163767386</v>
      </c>
      <c r="DG47" s="24">
        <v>11.954152368227829</v>
      </c>
      <c r="DH47" s="24">
        <v>14.248568711040731</v>
      </c>
      <c r="DI47" s="24">
        <v>18.751732891542339</v>
      </c>
      <c r="DJ47" s="24">
        <v>21.85597375372015</v>
      </c>
      <c r="DK47" s="24">
        <v>28.990129314383118</v>
      </c>
      <c r="DL47" s="24">
        <v>46.208582917129007</v>
      </c>
      <c r="DM47" s="24">
        <v>62.795490630890129</v>
      </c>
      <c r="DN47" s="24">
        <v>66.633666892855373</v>
      </c>
      <c r="DO47" s="24">
        <v>802.96580454686159</v>
      </c>
    </row>
    <row r="48" spans="1:119" x14ac:dyDescent="0.3">
      <c r="A48" s="24" t="s">
        <v>445</v>
      </c>
      <c r="B48" s="24" t="s">
        <v>431</v>
      </c>
      <c r="C48" s="24" t="s">
        <v>54</v>
      </c>
      <c r="D48" s="24">
        <v>6.0000000000000001E-3</v>
      </c>
      <c r="E48" s="24">
        <v>8.0000000000000007E-5</v>
      </c>
      <c r="F48" s="24">
        <v>2.4208197333333002E-3</v>
      </c>
      <c r="G48" s="24">
        <v>8.75</v>
      </c>
      <c r="H48" s="24">
        <v>7.4999999999999997E-2</v>
      </c>
      <c r="I48" s="24">
        <v>2.67</v>
      </c>
      <c r="J48" s="24">
        <v>293.14999999999998</v>
      </c>
      <c r="K48" s="24">
        <v>403.15</v>
      </c>
      <c r="L48" s="24">
        <v>80</v>
      </c>
      <c r="M48" s="24">
        <v>0.3</v>
      </c>
      <c r="N48" s="24">
        <v>0.17806926321312089</v>
      </c>
      <c r="O48" s="24">
        <v>2.7866078797212999E-2</v>
      </c>
      <c r="P48" s="24">
        <v>21.703636400205841</v>
      </c>
      <c r="Q48" s="24">
        <v>40.898364938461597</v>
      </c>
      <c r="R48" s="24">
        <v>50.236690004622247</v>
      </c>
      <c r="S48" s="24">
        <v>85.741147344103567</v>
      </c>
      <c r="T48" s="24">
        <v>60.877190703920213</v>
      </c>
      <c r="U48" s="24">
        <v>2.476599357282915</v>
      </c>
      <c r="V48" s="24">
        <v>355.4045163274003</v>
      </c>
      <c r="W48" s="24">
        <v>7.4803176237882782</v>
      </c>
      <c r="X48" s="24">
        <v>5.8784853928063399</v>
      </c>
      <c r="Y48" s="24">
        <v>7.2446729322634447</v>
      </c>
      <c r="Z48" s="24">
        <v>9.0180060966198035</v>
      </c>
      <c r="AA48" s="24">
        <v>5.7758192057070004E-4</v>
      </c>
      <c r="AB48" s="24">
        <v>1.274715968309331</v>
      </c>
      <c r="AC48" s="24">
        <v>1.971897650753665</v>
      </c>
      <c r="AD48" s="24">
        <v>7.4996925275110424</v>
      </c>
      <c r="AE48" s="24">
        <v>4.5</v>
      </c>
      <c r="AF48" s="24">
        <v>0.2046649395694759</v>
      </c>
      <c r="AG48" s="24">
        <v>2.71106123375735E-2</v>
      </c>
      <c r="AH48" s="24">
        <v>91.65658052888692</v>
      </c>
      <c r="AI48" s="24">
        <v>82.987513439457132</v>
      </c>
      <c r="AJ48" s="24"/>
      <c r="AK48" s="24"/>
      <c r="AL48" s="24">
        <v>5.868218500111066</v>
      </c>
      <c r="AM48" s="24">
        <v>49.599330094752183</v>
      </c>
      <c r="AN48" s="24">
        <v>59.589269002308868</v>
      </c>
      <c r="AO48" s="24">
        <v>78.960687408367065</v>
      </c>
      <c r="AP48" s="24">
        <v>49.599330094752183</v>
      </c>
      <c r="AQ48" s="24">
        <v>40.222099129919833</v>
      </c>
      <c r="AR48" s="24">
        <v>0.61812161153938394</v>
      </c>
      <c r="AS48" s="24">
        <v>9.5604491637886024</v>
      </c>
      <c r="AT48" s="24">
        <v>71.255532769384871</v>
      </c>
      <c r="AU48" s="24">
        <v>2.8469657153444952</v>
      </c>
      <c r="AV48" s="24">
        <v>8.3425049701789256</v>
      </c>
      <c r="AW48" s="24">
        <v>10.549132267653601</v>
      </c>
      <c r="AX48" s="24">
        <v>5.1179106388209137</v>
      </c>
      <c r="AY48" s="24">
        <v>1.725232265616593</v>
      </c>
      <c r="AZ48" s="24">
        <v>4.6556255160585316</v>
      </c>
      <c r="BA48" s="24">
        <v>80.086242724911372</v>
      </c>
      <c r="BB48" s="24">
        <v>111.4127208505766</v>
      </c>
      <c r="BC48" s="24">
        <v>8.1659010535841077</v>
      </c>
      <c r="BD48" s="24">
        <v>15.105476435617261</v>
      </c>
      <c r="BE48" s="24">
        <v>30.159767410606541</v>
      </c>
      <c r="BF48" s="24">
        <v>44.285708890218238</v>
      </c>
      <c r="BG48" s="24">
        <v>57.976839406664062</v>
      </c>
      <c r="BH48" s="24">
        <v>85.881724136662172</v>
      </c>
      <c r="BI48" s="24">
        <v>64.748478377786682</v>
      </c>
      <c r="BJ48" s="24">
        <v>2.591401337849724</v>
      </c>
      <c r="BK48" s="24">
        <v>7.4064219467396981</v>
      </c>
      <c r="BL48" s="24">
        <v>5.8210714811532798</v>
      </c>
      <c r="BM48" s="24">
        <v>7.1801005657374839</v>
      </c>
      <c r="BN48" s="24">
        <v>8.8462594155305005</v>
      </c>
      <c r="BO48" s="24">
        <v>0.96110718170074561</v>
      </c>
      <c r="BP48" s="24">
        <v>8.1659010535841059</v>
      </c>
      <c r="BQ48" s="24">
        <v>40.786193005725359</v>
      </c>
      <c r="BR48" s="24">
        <v>64.26013826904655</v>
      </c>
      <c r="BS48" s="24">
        <v>67.336859724330992</v>
      </c>
      <c r="BT48" s="24">
        <v>95.190750499178762</v>
      </c>
      <c r="BU48" s="24">
        <v>79.167544805910921</v>
      </c>
      <c r="BV48" s="24">
        <v>3.6481555530963319</v>
      </c>
      <c r="BW48" s="24">
        <v>345.0986967192477</v>
      </c>
      <c r="BX48" s="24">
        <v>7.129090953588185</v>
      </c>
      <c r="BY48" s="24">
        <v>5.7028134423487646</v>
      </c>
      <c r="BZ48" s="24">
        <v>7.0189829791586096</v>
      </c>
      <c r="CA48" s="24">
        <v>8.5361184014298566</v>
      </c>
      <c r="CB48" s="24">
        <v>1.486301494191E-4</v>
      </c>
      <c r="CC48" s="24">
        <v>0.80794616375309314</v>
      </c>
      <c r="CD48" s="24">
        <v>0.79949534881169027</v>
      </c>
      <c r="CE48" s="24">
        <v>10.666186314660759</v>
      </c>
      <c r="CF48" s="24">
        <v>337.60180409746022</v>
      </c>
      <c r="CG48" s="24">
        <v>338.89753624691878</v>
      </c>
      <c r="CH48" s="24">
        <v>341.62193045790502</v>
      </c>
      <c r="CI48" s="24">
        <v>338.49215396231239</v>
      </c>
      <c r="CJ48" s="24">
        <v>338.82821323497518</v>
      </c>
      <c r="CK48" s="24">
        <v>338.89753624691878</v>
      </c>
      <c r="CL48" s="24">
        <v>339.17457791785159</v>
      </c>
      <c r="CM48" s="24">
        <v>339.80149500934027</v>
      </c>
      <c r="CN48" s="24">
        <v>340.47977197037028</v>
      </c>
      <c r="CO48" s="24">
        <v>341.24728534099489</v>
      </c>
      <c r="CP48" s="24">
        <v>341.59575863394821</v>
      </c>
      <c r="CQ48" s="24">
        <v>342.18902590553438</v>
      </c>
      <c r="CR48" s="24">
        <v>343.48920963001211</v>
      </c>
      <c r="CS48" s="24">
        <v>345.6290380084875</v>
      </c>
      <c r="CT48" s="24">
        <v>347.00744645535133</v>
      </c>
      <c r="CU48" s="24">
        <v>350.38830132517552</v>
      </c>
      <c r="CV48" s="24">
        <v>363.779145687859</v>
      </c>
      <c r="CW48" s="24">
        <v>393.88051383841582</v>
      </c>
      <c r="CX48" s="24">
        <v>399.2771735768236</v>
      </c>
      <c r="CY48" s="24">
        <v>8.3409289743000308</v>
      </c>
      <c r="CZ48" s="24">
        <v>8.4564027050858872</v>
      </c>
      <c r="DA48" s="24">
        <v>8.4877975061142212</v>
      </c>
      <c r="DB48" s="24">
        <v>8.6526398597779917</v>
      </c>
      <c r="DC48" s="24">
        <v>9.0583495378722905</v>
      </c>
      <c r="DD48" s="24">
        <v>9.6069711932815007</v>
      </c>
      <c r="DE48" s="24">
        <v>10.40113315588507</v>
      </c>
      <c r="DF48" s="24">
        <v>10.82761159910803</v>
      </c>
      <c r="DG48" s="24">
        <v>11.64293549742845</v>
      </c>
      <c r="DH48" s="24">
        <v>13.810390341163711</v>
      </c>
      <c r="DI48" s="24">
        <v>18.176446891985499</v>
      </c>
      <c r="DJ48" s="24">
        <v>21.21935844533084</v>
      </c>
      <c r="DK48" s="24">
        <v>28.39847211811442</v>
      </c>
      <c r="DL48" s="24">
        <v>45.116372090390982</v>
      </c>
      <c r="DM48" s="24">
        <v>62.923958798262071</v>
      </c>
      <c r="DN48" s="24">
        <v>66.636907658523597</v>
      </c>
      <c r="DO48" s="24">
        <v>797.58094666049374</v>
      </c>
    </row>
    <row r="49" spans="1:119" x14ac:dyDescent="0.3">
      <c r="A49" s="24" t="s">
        <v>446</v>
      </c>
      <c r="B49" s="24" t="s">
        <v>428</v>
      </c>
      <c r="C49" s="24" t="s">
        <v>54</v>
      </c>
      <c r="D49" s="24">
        <v>6.0000000000000001E-3</v>
      </c>
      <c r="E49" s="24">
        <v>8.0000000000000007E-5</v>
      </c>
      <c r="F49" s="24">
        <v>3.0400992000000002E-3</v>
      </c>
      <c r="G49" s="24">
        <v>8.75</v>
      </c>
      <c r="H49" s="24">
        <v>7.4999999999999997E-2</v>
      </c>
      <c r="I49" s="24">
        <v>2.67</v>
      </c>
      <c r="J49" s="24">
        <v>293.14999999999998</v>
      </c>
      <c r="K49" s="24">
        <v>403.15</v>
      </c>
      <c r="L49" s="24">
        <v>80</v>
      </c>
      <c r="M49" s="24">
        <v>0.3</v>
      </c>
      <c r="N49" s="24">
        <v>0.34375796927302671</v>
      </c>
      <c r="O49" s="24">
        <v>3.2990825051361403E-2</v>
      </c>
      <c r="P49" s="24">
        <v>30.066452328521041</v>
      </c>
      <c r="Q49" s="24">
        <v>41.531902633056802</v>
      </c>
      <c r="R49" s="24">
        <v>50.377825895703467</v>
      </c>
      <c r="S49" s="24">
        <v>85.809746312026434</v>
      </c>
      <c r="T49" s="24">
        <v>61.655983392653418</v>
      </c>
      <c r="U49" s="24">
        <v>2.4944732408293211</v>
      </c>
      <c r="V49" s="24">
        <v>345.62931663477138</v>
      </c>
      <c r="W49" s="24">
        <v>7.0432720311872412</v>
      </c>
      <c r="X49" s="24">
        <v>5.5968573788064599</v>
      </c>
      <c r="Y49" s="24">
        <v>6.9510866332779733</v>
      </c>
      <c r="Z49" s="24">
        <v>8.3956856405370566</v>
      </c>
      <c r="AA49" s="24">
        <v>7.5657114213130005E-4</v>
      </c>
      <c r="AB49" s="24">
        <v>1.1065045581544151</v>
      </c>
      <c r="AC49" s="24">
        <v>0.46786540017739919</v>
      </c>
      <c r="AD49" s="24">
        <v>10.822938135449061</v>
      </c>
      <c r="AE49" s="24">
        <v>4.5</v>
      </c>
      <c r="AF49" s="24">
        <v>0.1704534396440707</v>
      </c>
      <c r="AG49" s="24">
        <v>3.1937190777779699E-2</v>
      </c>
      <c r="AH49" s="24">
        <v>95.203340360826942</v>
      </c>
      <c r="AI49" s="24">
        <v>93.325154743254899</v>
      </c>
      <c r="AJ49" s="24"/>
      <c r="AK49" s="24"/>
      <c r="AL49" s="24">
        <v>7.2289254914055254</v>
      </c>
      <c r="AM49" s="24">
        <v>60.618147949151073</v>
      </c>
      <c r="AN49" s="24">
        <v>69.275418481820864</v>
      </c>
      <c r="AO49" s="24">
        <v>82.207993023533163</v>
      </c>
      <c r="AP49" s="24">
        <v>60.618147949151073</v>
      </c>
      <c r="AQ49" s="24">
        <v>30.676447686939081</v>
      </c>
      <c r="AR49" s="24">
        <v>0.63066008503899318</v>
      </c>
      <c r="AS49" s="24">
        <v>8.0747442788708614</v>
      </c>
      <c r="AT49" s="24">
        <v>38.812877052557702</v>
      </c>
      <c r="AU49" s="24">
        <v>3.7152245878747219</v>
      </c>
      <c r="AV49" s="24">
        <v>8.3425049701789256</v>
      </c>
      <c r="AW49" s="24">
        <v>8.0837691456559799</v>
      </c>
      <c r="AX49" s="24">
        <v>4.1545618264222544</v>
      </c>
      <c r="AY49" s="24">
        <v>0.40594825063215861</v>
      </c>
      <c r="AZ49" s="24">
        <v>1.778839460614706</v>
      </c>
      <c r="BA49" s="24">
        <v>70.4446972522246</v>
      </c>
      <c r="BB49" s="24">
        <v>107.3597094470217</v>
      </c>
      <c r="BC49" s="24">
        <v>11.625608133741331</v>
      </c>
      <c r="BD49" s="24">
        <v>21.507604423623121</v>
      </c>
      <c r="BE49" s="24">
        <v>30.14423251636741</v>
      </c>
      <c r="BF49" s="24">
        <v>44.54694424860957</v>
      </c>
      <c r="BG49" s="24">
        <v>57.976239571391652</v>
      </c>
      <c r="BH49" s="24">
        <v>85.890756061681614</v>
      </c>
      <c r="BI49" s="24">
        <v>65.16215039143394</v>
      </c>
      <c r="BJ49" s="24">
        <v>2.597598412552812</v>
      </c>
      <c r="BK49" s="24">
        <v>7.0707627741944901</v>
      </c>
      <c r="BL49" s="24">
        <v>5.5967406654773066</v>
      </c>
      <c r="BM49" s="24">
        <v>6.9719594813062074</v>
      </c>
      <c r="BN49" s="24">
        <v>8.4700244430517611</v>
      </c>
      <c r="BO49" s="24">
        <v>0.961540864972248</v>
      </c>
      <c r="BP49" s="24">
        <v>11.625608133741331</v>
      </c>
      <c r="BQ49" s="24">
        <v>48.701351373472797</v>
      </c>
      <c r="BR49" s="24">
        <v>67.031127310379119</v>
      </c>
      <c r="BS49" s="24">
        <v>67.33524537597431</v>
      </c>
      <c r="BT49" s="24">
        <v>104.3517015550451</v>
      </c>
      <c r="BU49" s="24">
        <v>81.314811613122544</v>
      </c>
      <c r="BV49" s="24">
        <v>3.8293979262740181</v>
      </c>
      <c r="BW49" s="24">
        <v>334.19373556042711</v>
      </c>
      <c r="BX49" s="24">
        <v>7.1977837905610498</v>
      </c>
      <c r="BY49" s="24">
        <v>5.5893673671173847</v>
      </c>
      <c r="BZ49" s="24">
        <v>7.0390614149367279</v>
      </c>
      <c r="CA49" s="24">
        <v>8.7984315465638439</v>
      </c>
      <c r="CB49" s="24">
        <v>1.5545860796089999E-4</v>
      </c>
      <c r="CC49" s="24">
        <v>0.82646688032162008</v>
      </c>
      <c r="CD49" s="24">
        <v>0.1198599748921166</v>
      </c>
      <c r="CE49" s="24">
        <v>15.334345979173239</v>
      </c>
      <c r="CF49" s="24">
        <v>326.94703966999703</v>
      </c>
      <c r="CG49" s="24">
        <v>327.93431446773019</v>
      </c>
      <c r="CH49" s="24">
        <v>330.11485316181859</v>
      </c>
      <c r="CI49" s="24">
        <v>327.59021195734249</v>
      </c>
      <c r="CJ49" s="24">
        <v>327.87319511696433</v>
      </c>
      <c r="CK49" s="24">
        <v>327.93431446773019</v>
      </c>
      <c r="CL49" s="24">
        <v>328.18105847598162</v>
      </c>
      <c r="CM49" s="24">
        <v>328.74459576914347</v>
      </c>
      <c r="CN49" s="24">
        <v>329.38743264554529</v>
      </c>
      <c r="CO49" s="24">
        <v>330.18018580148151</v>
      </c>
      <c r="CP49" s="24">
        <v>330.56123531742128</v>
      </c>
      <c r="CQ49" s="24">
        <v>331.22937424927352</v>
      </c>
      <c r="CR49" s="24">
        <v>332.78287043695741</v>
      </c>
      <c r="CS49" s="24">
        <v>335.45389844299268</v>
      </c>
      <c r="CT49" s="24">
        <v>337.18311514198427</v>
      </c>
      <c r="CU49" s="24">
        <v>341.28472823456622</v>
      </c>
      <c r="CV49" s="24">
        <v>358.45012940301729</v>
      </c>
      <c r="CW49" s="24">
        <v>393.63008271052269</v>
      </c>
      <c r="CX49" s="24">
        <v>399.07164166241972</v>
      </c>
      <c r="CY49" s="24">
        <v>11.84121178583802</v>
      </c>
      <c r="CZ49" s="24">
        <v>11.99105560860856</v>
      </c>
      <c r="DA49" s="24">
        <v>12.031700635917581</v>
      </c>
      <c r="DB49" s="24">
        <v>12.24437486476425</v>
      </c>
      <c r="DC49" s="24">
        <v>12.76514010187176</v>
      </c>
      <c r="DD49" s="24">
        <v>13.47233604139443</v>
      </c>
      <c r="DE49" s="24">
        <v>14.48894098615288</v>
      </c>
      <c r="DF49" s="24">
        <v>15.025766476998569</v>
      </c>
      <c r="DG49" s="24">
        <v>16.030422510248261</v>
      </c>
      <c r="DH49" s="24">
        <v>18.585660166423239</v>
      </c>
      <c r="DI49" s="24">
        <v>23.269875039791572</v>
      </c>
      <c r="DJ49" s="24">
        <v>26.285569944001949</v>
      </c>
      <c r="DK49" s="24">
        <v>32.814067876815059</v>
      </c>
      <c r="DL49" s="24">
        <v>48.098865084907871</v>
      </c>
      <c r="DM49" s="24">
        <v>63.383032791625929</v>
      </c>
      <c r="DN49" s="24">
        <v>66.903424306274971</v>
      </c>
      <c r="DO49" s="24">
        <v>673.63594279404015</v>
      </c>
    </row>
    <row r="50" spans="1:119" x14ac:dyDescent="0.3">
      <c r="A50" s="24" t="s">
        <v>447</v>
      </c>
      <c r="B50" s="24" t="s">
        <v>431</v>
      </c>
      <c r="C50" s="24" t="s">
        <v>54</v>
      </c>
      <c r="D50" s="24">
        <v>6.0000000000000001E-3</v>
      </c>
      <c r="E50" s="24">
        <v>8.0000000000000007E-5</v>
      </c>
      <c r="F50" s="24">
        <v>3.0400992000000002E-3</v>
      </c>
      <c r="G50" s="24">
        <v>8.75</v>
      </c>
      <c r="H50" s="24">
        <v>7.4999999999999997E-2</v>
      </c>
      <c r="I50" s="24">
        <v>2.67</v>
      </c>
      <c r="J50" s="24">
        <v>293.14999999999998</v>
      </c>
      <c r="K50" s="24">
        <v>403.15</v>
      </c>
      <c r="L50" s="24">
        <v>80</v>
      </c>
      <c r="M50" s="24">
        <v>0.3</v>
      </c>
      <c r="N50" s="24">
        <v>0.3408551734695528</v>
      </c>
      <c r="O50" s="24">
        <v>3.2988419976777802E-2</v>
      </c>
      <c r="P50" s="24">
        <v>21.61425665822992</v>
      </c>
      <c r="Q50" s="24">
        <v>40.557894993676449</v>
      </c>
      <c r="R50" s="24">
        <v>48.857340749504971</v>
      </c>
      <c r="S50" s="24">
        <v>85.802063522887721</v>
      </c>
      <c r="T50" s="24">
        <v>60.720790348597752</v>
      </c>
      <c r="U50" s="24">
        <v>2.4570997501610878</v>
      </c>
      <c r="V50" s="24">
        <v>347.38561204177643</v>
      </c>
      <c r="W50" s="24">
        <v>7.7027738679268998</v>
      </c>
      <c r="X50" s="24">
        <v>5.8040122705596664</v>
      </c>
      <c r="Y50" s="24">
        <v>7.3434475677855131</v>
      </c>
      <c r="Z50" s="24">
        <v>9.8109094757502255</v>
      </c>
      <c r="AA50" s="24">
        <v>7.028952179043E-4</v>
      </c>
      <c r="AB50" s="24">
        <v>1.313780199248936</v>
      </c>
      <c r="AC50" s="24">
        <v>0.77605196070159788</v>
      </c>
      <c r="AD50" s="24">
        <v>10.216204310685921</v>
      </c>
      <c r="AE50" s="24">
        <v>4.5</v>
      </c>
      <c r="AF50" s="24">
        <v>0.22914951534057401</v>
      </c>
      <c r="AG50" s="24">
        <v>3.1934936867462002E-2</v>
      </c>
      <c r="AH50" s="24">
        <v>92.334067004455036</v>
      </c>
      <c r="AI50" s="24">
        <v>89.754302156353788</v>
      </c>
      <c r="AJ50" s="24"/>
      <c r="AK50" s="24"/>
      <c r="AL50" s="24">
        <v>7.2433060387417836</v>
      </c>
      <c r="AM50" s="24">
        <v>60.746620925789252</v>
      </c>
      <c r="AN50" s="24">
        <v>69.117327037311142</v>
      </c>
      <c r="AO50" s="24">
        <v>76.154440928190056</v>
      </c>
      <c r="AP50" s="24">
        <v>60.746620925789252</v>
      </c>
      <c r="AQ50" s="24">
        <v>30.656625618285808</v>
      </c>
      <c r="AR50" s="24">
        <v>0.64338216178748542</v>
      </c>
      <c r="AS50" s="24">
        <v>7.9533712941374661</v>
      </c>
      <c r="AT50" s="24">
        <v>39.944445865888952</v>
      </c>
      <c r="AU50" s="24">
        <v>3.7015912897313412</v>
      </c>
      <c r="AV50" s="24">
        <v>8.3425049701789256</v>
      </c>
      <c r="AW50" s="24">
        <v>8.1135424043057736</v>
      </c>
      <c r="AX50" s="24">
        <v>4.1463135385980587</v>
      </c>
      <c r="AY50" s="24">
        <v>0.65429291721229166</v>
      </c>
      <c r="AZ50" s="24">
        <v>3.6994864483750471</v>
      </c>
      <c r="BA50" s="24">
        <v>71.26102377959198</v>
      </c>
      <c r="BB50" s="24">
        <v>109.281584143933</v>
      </c>
      <c r="BC50" s="24">
        <v>11.3001171926169</v>
      </c>
      <c r="BD50" s="24">
        <v>21.35808595147066</v>
      </c>
      <c r="BE50" s="24">
        <v>30.159635882228638</v>
      </c>
      <c r="BF50" s="24">
        <v>44.576420215195881</v>
      </c>
      <c r="BG50" s="24">
        <v>57.99033672766501</v>
      </c>
      <c r="BH50" s="24">
        <v>85.887409934552267</v>
      </c>
      <c r="BI50" s="24">
        <v>65.159359581756476</v>
      </c>
      <c r="BJ50" s="24">
        <v>2.6022740986716189</v>
      </c>
      <c r="BK50" s="24">
        <v>7.5423954035696736</v>
      </c>
      <c r="BL50" s="24">
        <v>5.7212262648402472</v>
      </c>
      <c r="BM50" s="24">
        <v>7.2530516713829769</v>
      </c>
      <c r="BN50" s="24">
        <v>9.3867956522945342</v>
      </c>
      <c r="BO50" s="24">
        <v>0.96098379828406821</v>
      </c>
      <c r="BP50" s="24">
        <v>11.3001171926169</v>
      </c>
      <c r="BQ50" s="24">
        <v>48.673344485209888</v>
      </c>
      <c r="BR50" s="24">
        <v>65.211295269551783</v>
      </c>
      <c r="BS50" s="24">
        <v>67.312705828564191</v>
      </c>
      <c r="BT50" s="24">
        <v>95.192592520999582</v>
      </c>
      <c r="BU50" s="24">
        <v>79.347404192779507</v>
      </c>
      <c r="BV50" s="24">
        <v>3.8060055549491381</v>
      </c>
      <c r="BW50" s="24">
        <v>334.91122109448668</v>
      </c>
      <c r="BX50" s="24">
        <v>7.0302022420142896</v>
      </c>
      <c r="BY50" s="24">
        <v>5.5377088043976679</v>
      </c>
      <c r="BZ50" s="24">
        <v>6.86060111158708</v>
      </c>
      <c r="CA50" s="24">
        <v>8.3324663303555297</v>
      </c>
      <c r="CB50" s="24">
        <v>2.0894855970559999E-4</v>
      </c>
      <c r="CC50" s="24">
        <v>0.69109163661118522</v>
      </c>
      <c r="CD50" s="24">
        <v>0.26543678442230101</v>
      </c>
      <c r="CE50" s="24">
        <v>14.761758804362589</v>
      </c>
      <c r="CF50" s="24">
        <v>327.12094025895772</v>
      </c>
      <c r="CG50" s="24">
        <v>328.24241041281931</v>
      </c>
      <c r="CH50" s="24">
        <v>330.49896426966973</v>
      </c>
      <c r="CI50" s="24">
        <v>327.89227485966848</v>
      </c>
      <c r="CJ50" s="24">
        <v>328.17934262928031</v>
      </c>
      <c r="CK50" s="24">
        <v>328.24241041281931</v>
      </c>
      <c r="CL50" s="24">
        <v>328.49496127873988</v>
      </c>
      <c r="CM50" s="24">
        <v>329.0652821014433</v>
      </c>
      <c r="CN50" s="24">
        <v>329.70268339028621</v>
      </c>
      <c r="CO50" s="24">
        <v>330.45371932578882</v>
      </c>
      <c r="CP50" s="24">
        <v>330.80661079865041</v>
      </c>
      <c r="CQ50" s="24">
        <v>331.42762791200602</v>
      </c>
      <c r="CR50" s="24">
        <v>332.8509677369953</v>
      </c>
      <c r="CS50" s="24">
        <v>335.32967863131182</v>
      </c>
      <c r="CT50" s="24">
        <v>336.95790102539848</v>
      </c>
      <c r="CU50" s="24">
        <v>340.85524646583889</v>
      </c>
      <c r="CV50" s="24">
        <v>355.82187204112608</v>
      </c>
      <c r="CW50" s="24">
        <v>391.5014104027685</v>
      </c>
      <c r="CX50" s="24">
        <v>398.84783488707973</v>
      </c>
      <c r="CY50" s="24">
        <v>11.51584727279044</v>
      </c>
      <c r="CZ50" s="24">
        <v>11.659517422384731</v>
      </c>
      <c r="DA50" s="24">
        <v>11.69858806950756</v>
      </c>
      <c r="DB50" s="24">
        <v>11.90323069728923</v>
      </c>
      <c r="DC50" s="24">
        <v>12.402943773897229</v>
      </c>
      <c r="DD50" s="24">
        <v>13.07035330137</v>
      </c>
      <c r="DE50" s="24">
        <v>14.019405841341801</v>
      </c>
      <c r="DF50" s="24">
        <v>14.51804451934888</v>
      </c>
      <c r="DG50" s="24">
        <v>15.455936002655919</v>
      </c>
      <c r="DH50" s="24">
        <v>17.834174509987459</v>
      </c>
      <c r="DI50" s="24">
        <v>22.27806777727821</v>
      </c>
      <c r="DJ50" s="24">
        <v>25.217183394044941</v>
      </c>
      <c r="DK50" s="24">
        <v>31.769189863642179</v>
      </c>
      <c r="DL50" s="24">
        <v>45.734613191213128</v>
      </c>
      <c r="DM50" s="24">
        <v>63.536448529378767</v>
      </c>
      <c r="DN50" s="24">
        <v>66.921480992639573</v>
      </c>
      <c r="DO50" s="24">
        <v>663.5103955102021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Column guide</vt:lpstr>
      <vt:lpstr>Frozen runs (38)</vt:lpstr>
      <vt:lpstr>Full runs (11)</vt:lpstr>
      <vt:lpstr>Frozen vs full</vt:lpstr>
      <vt:lpstr>All 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Obed Peprah - RESEARCH</cp:lastModifiedBy>
  <cp:lastPrinted>2026-10-21T12:32:11Z</cp:lastPrinted>
  <dcterms:created xsi:type="dcterms:W3CDTF">2026-10-03T19:38:41Z</dcterms:created>
  <dcterms:modified xsi:type="dcterms:W3CDTF">2026-10-21T12:32:20Z</dcterms:modified>
</cp:coreProperties>
</file>